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CF5688E8-0E65-40AC-8273-6682FB7F0C08}" xr6:coauthVersionLast="47" xr6:coauthVersionMax="47" xr10:uidLastSave="{00000000-0000-0000-0000-000000000000}"/>
  <bookViews>
    <workbookView xWindow="-108" yWindow="-108" windowWidth="23256" windowHeight="12456" xr2:uid="{B7F448DB-4C51-4E17-B842-FD34CE66EB2A}"/>
  </bookViews>
  <sheets>
    <sheet name="LISTA DE PRECIOS ETAPA 1" sheetId="1" r:id="rId1"/>
  </sheets>
  <definedNames>
    <definedName name="_xlnm._FilterDatabase" localSheetId="0" hidden="1">'LISTA DE PRECIOS ETAPA 1'!$A$8:$V$137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7" i="1" l="1"/>
  <c r="L137" i="1"/>
  <c r="K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H128" i="1"/>
  <c r="H132" i="1" s="1"/>
  <c r="H136" i="1" s="1"/>
  <c r="F128" i="1"/>
  <c r="F132" i="1" s="1"/>
  <c r="F136" i="1" s="1"/>
  <c r="H127" i="1"/>
  <c r="H131" i="1" s="1"/>
  <c r="H135" i="1" s="1"/>
  <c r="F127" i="1"/>
  <c r="F131" i="1" s="1"/>
  <c r="F135" i="1" s="1"/>
  <c r="H126" i="1"/>
  <c r="H130" i="1" s="1"/>
  <c r="H134" i="1" s="1"/>
  <c r="F126" i="1"/>
  <c r="F130" i="1" s="1"/>
  <c r="F134" i="1" s="1"/>
  <c r="H125" i="1"/>
  <c r="H129" i="1" s="1"/>
  <c r="H133" i="1" s="1"/>
  <c r="F125" i="1"/>
  <c r="F129" i="1" s="1"/>
  <c r="F133" i="1" s="1"/>
  <c r="N120" i="1"/>
  <c r="T119" i="1"/>
  <c r="N119" i="1"/>
  <c r="N118" i="1"/>
  <c r="N117" i="1"/>
  <c r="T116" i="1"/>
  <c r="N116" i="1"/>
  <c r="N115" i="1"/>
  <c r="N114" i="1"/>
  <c r="N113" i="1"/>
  <c r="N112" i="1"/>
  <c r="H112" i="1"/>
  <c r="H116" i="1" s="1"/>
  <c r="H120" i="1" s="1"/>
  <c r="F112" i="1"/>
  <c r="F116" i="1" s="1"/>
  <c r="F120" i="1" s="1"/>
  <c r="A112" i="1"/>
  <c r="A116" i="1" s="1"/>
  <c r="A120" i="1" s="1"/>
  <c r="N111" i="1"/>
  <c r="H111" i="1"/>
  <c r="H115" i="1" s="1"/>
  <c r="H119" i="1" s="1"/>
  <c r="F111" i="1"/>
  <c r="F115" i="1" s="1"/>
  <c r="F119" i="1" s="1"/>
  <c r="A111" i="1"/>
  <c r="A115" i="1" s="1"/>
  <c r="A119" i="1" s="1"/>
  <c r="N110" i="1"/>
  <c r="H110" i="1"/>
  <c r="H114" i="1" s="1"/>
  <c r="H118" i="1" s="1"/>
  <c r="F110" i="1"/>
  <c r="F114" i="1" s="1"/>
  <c r="F118" i="1" s="1"/>
  <c r="A110" i="1"/>
  <c r="A114" i="1" s="1"/>
  <c r="A118" i="1" s="1"/>
  <c r="N109" i="1"/>
  <c r="H109" i="1"/>
  <c r="H113" i="1" s="1"/>
  <c r="H117" i="1" s="1"/>
  <c r="F109" i="1"/>
  <c r="F113" i="1" s="1"/>
  <c r="F117" i="1" s="1"/>
  <c r="A109" i="1"/>
  <c r="A113" i="1" s="1"/>
  <c r="A117" i="1" s="1"/>
  <c r="N108" i="1"/>
  <c r="T107" i="1"/>
  <c r="N107" i="1"/>
  <c r="N106" i="1"/>
  <c r="N105" i="1"/>
  <c r="N104" i="1"/>
  <c r="N103" i="1"/>
  <c r="N102" i="1"/>
  <c r="N101" i="1"/>
  <c r="N100" i="1"/>
  <c r="N99" i="1"/>
  <c r="N98" i="1"/>
  <c r="N97" i="1"/>
  <c r="N96" i="1"/>
  <c r="H96" i="1"/>
  <c r="H100" i="1" s="1"/>
  <c r="H104" i="1" s="1"/>
  <c r="F96" i="1"/>
  <c r="F100" i="1" s="1"/>
  <c r="F104" i="1" s="1"/>
  <c r="A96" i="1"/>
  <c r="A100" i="1" s="1"/>
  <c r="A104" i="1" s="1"/>
  <c r="N95" i="1"/>
  <c r="H95" i="1"/>
  <c r="H99" i="1" s="1"/>
  <c r="H103" i="1" s="1"/>
  <c r="F95" i="1"/>
  <c r="F99" i="1" s="1"/>
  <c r="F103" i="1" s="1"/>
  <c r="A95" i="1"/>
  <c r="A99" i="1" s="1"/>
  <c r="A103" i="1" s="1"/>
  <c r="N93" i="1"/>
  <c r="H93" i="1"/>
  <c r="H98" i="1" s="1"/>
  <c r="H102" i="1" s="1"/>
  <c r="F93" i="1"/>
  <c r="F98" i="1" s="1"/>
  <c r="F102" i="1" s="1"/>
  <c r="A93" i="1"/>
  <c r="A98" i="1" s="1"/>
  <c r="A102" i="1" s="1"/>
  <c r="N94" i="1"/>
  <c r="H94" i="1"/>
  <c r="H97" i="1" s="1"/>
  <c r="H101" i="1" s="1"/>
  <c r="F94" i="1"/>
  <c r="F97" i="1" s="1"/>
  <c r="F101" i="1" s="1"/>
  <c r="A94" i="1"/>
  <c r="A97" i="1" s="1"/>
  <c r="A101" i="1" s="1"/>
  <c r="N92" i="1"/>
  <c r="N91" i="1"/>
  <c r="N90" i="1"/>
  <c r="N89" i="1"/>
  <c r="T56" i="1"/>
  <c r="N56" i="1"/>
  <c r="T55" i="1"/>
  <c r="N55" i="1"/>
  <c r="N54" i="1"/>
  <c r="N53" i="1"/>
  <c r="T52" i="1"/>
  <c r="N52" i="1"/>
  <c r="T51" i="1"/>
  <c r="N51" i="1"/>
  <c r="N50" i="1"/>
  <c r="N49" i="1"/>
  <c r="T48" i="1"/>
  <c r="N48" i="1"/>
  <c r="T47" i="1"/>
  <c r="N47" i="1"/>
  <c r="N46" i="1"/>
  <c r="N45" i="1"/>
  <c r="N44" i="1"/>
  <c r="N43" i="1"/>
  <c r="N42" i="1"/>
  <c r="N41" i="1"/>
  <c r="T137" i="1"/>
  <c r="N73" i="1"/>
  <c r="O73" i="1" s="1"/>
  <c r="N74" i="1"/>
  <c r="P74" i="1" s="1"/>
  <c r="N75" i="1"/>
  <c r="O75" i="1" s="1"/>
  <c r="N76" i="1"/>
  <c r="P76" i="1" s="1"/>
  <c r="A77" i="1"/>
  <c r="A81" i="1" s="1"/>
  <c r="A85" i="1" s="1"/>
  <c r="F77" i="1"/>
  <c r="H77" i="1"/>
  <c r="N77" i="1"/>
  <c r="P77" i="1" s="1"/>
  <c r="A78" i="1"/>
  <c r="A82" i="1" s="1"/>
  <c r="A86" i="1" s="1"/>
  <c r="F78" i="1"/>
  <c r="F82" i="1" s="1"/>
  <c r="F86" i="1" s="1"/>
  <c r="H78" i="1"/>
  <c r="H82" i="1" s="1"/>
  <c r="H86" i="1" s="1"/>
  <c r="N78" i="1"/>
  <c r="O78" i="1" s="1"/>
  <c r="A79" i="1"/>
  <c r="A83" i="1" s="1"/>
  <c r="A87" i="1" s="1"/>
  <c r="F79" i="1"/>
  <c r="F83" i="1" s="1"/>
  <c r="F87" i="1" s="1"/>
  <c r="H79" i="1"/>
  <c r="H83" i="1" s="1"/>
  <c r="H87" i="1" s="1"/>
  <c r="N79" i="1"/>
  <c r="P79" i="1" s="1"/>
  <c r="A80" i="1"/>
  <c r="A84" i="1" s="1"/>
  <c r="A88" i="1" s="1"/>
  <c r="F80" i="1"/>
  <c r="F84" i="1" s="1"/>
  <c r="F88" i="1" s="1"/>
  <c r="H80" i="1"/>
  <c r="N80" i="1"/>
  <c r="O80" i="1" s="1"/>
  <c r="F81" i="1"/>
  <c r="F85" i="1" s="1"/>
  <c r="H81" i="1"/>
  <c r="H85" i="1" s="1"/>
  <c r="N81" i="1"/>
  <c r="P81" i="1" s="1"/>
  <c r="N82" i="1"/>
  <c r="O82" i="1" s="1"/>
  <c r="N83" i="1"/>
  <c r="P83" i="1" s="1"/>
  <c r="O83" i="1"/>
  <c r="H84" i="1"/>
  <c r="H88" i="1" s="1"/>
  <c r="N84" i="1"/>
  <c r="O84" i="1" s="1"/>
  <c r="N85" i="1"/>
  <c r="P85" i="1" s="1"/>
  <c r="N86" i="1"/>
  <c r="O86" i="1" s="1"/>
  <c r="N87" i="1"/>
  <c r="P87" i="1" s="1"/>
  <c r="N88" i="1"/>
  <c r="O88" i="1" s="1"/>
  <c r="T40" i="1"/>
  <c r="N33" i="1"/>
  <c r="O33" i="1" s="1"/>
  <c r="N34" i="1"/>
  <c r="O34" i="1" s="1"/>
  <c r="P34" i="1"/>
  <c r="N35" i="1"/>
  <c r="P35" i="1" s="1"/>
  <c r="N36" i="1"/>
  <c r="O36" i="1" s="1"/>
  <c r="N37" i="1"/>
  <c r="O37" i="1" s="1"/>
  <c r="N38" i="1"/>
  <c r="O38" i="1" s="1"/>
  <c r="N39" i="1"/>
  <c r="P39" i="1" s="1"/>
  <c r="N40" i="1"/>
  <c r="O40" i="1" s="1"/>
  <c r="P40" i="1"/>
  <c r="N10" i="1"/>
  <c r="P10" i="1" s="1"/>
  <c r="N11" i="1"/>
  <c r="P11" i="1" s="1"/>
  <c r="N12" i="1"/>
  <c r="O12" i="1" s="1"/>
  <c r="N13" i="1"/>
  <c r="O13" i="1" s="1"/>
  <c r="N14" i="1"/>
  <c r="P14" i="1" s="1"/>
  <c r="N15" i="1"/>
  <c r="P15" i="1" s="1"/>
  <c r="N16" i="1"/>
  <c r="P16" i="1"/>
  <c r="N17" i="1"/>
  <c r="P17" i="1" s="1"/>
  <c r="N18" i="1"/>
  <c r="P18" i="1" s="1"/>
  <c r="N19" i="1"/>
  <c r="P19" i="1" s="1"/>
  <c r="N20" i="1"/>
  <c r="O20" i="1" s="1"/>
  <c r="N21" i="1"/>
  <c r="O21" i="1" s="1"/>
  <c r="N22" i="1"/>
  <c r="P22" i="1" s="1"/>
  <c r="N23" i="1"/>
  <c r="P23" i="1" s="1"/>
  <c r="N24" i="1"/>
  <c r="O24" i="1" s="1"/>
  <c r="P24" i="1"/>
  <c r="N25" i="1"/>
  <c r="P25" i="1" s="1"/>
  <c r="N26" i="1"/>
  <c r="P26" i="1" s="1"/>
  <c r="N27" i="1"/>
  <c r="P27" i="1" s="1"/>
  <c r="N28" i="1"/>
  <c r="O28" i="1" s="1"/>
  <c r="N29" i="1"/>
  <c r="O29" i="1" s="1"/>
  <c r="N30" i="1"/>
  <c r="P30" i="1" s="1"/>
  <c r="N31" i="1"/>
  <c r="O31" i="1" s="1"/>
  <c r="N32" i="1"/>
  <c r="P32" i="1" s="1"/>
  <c r="N57" i="1"/>
  <c r="P57" i="1" s="1"/>
  <c r="N58" i="1"/>
  <c r="P58" i="1" s="1"/>
  <c r="N59" i="1"/>
  <c r="O59" i="1" s="1"/>
  <c r="P59" i="1"/>
  <c r="N60" i="1"/>
  <c r="O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O68" i="1" s="1"/>
  <c r="N69" i="1"/>
  <c r="P69" i="1" s="1"/>
  <c r="N70" i="1"/>
  <c r="P70" i="1" s="1"/>
  <c r="N71" i="1"/>
  <c r="O71" i="1" s="1"/>
  <c r="N72" i="1"/>
  <c r="P72" i="1" s="1"/>
  <c r="N9" i="1"/>
  <c r="O16" i="1"/>
  <c r="O19" i="1"/>
  <c r="O23" i="1"/>
  <c r="O26" i="1"/>
  <c r="O27" i="1"/>
  <c r="O66" i="1"/>
  <c r="O67" i="1"/>
  <c r="O22" i="1" l="1"/>
  <c r="O76" i="1"/>
  <c r="O15" i="1"/>
  <c r="O87" i="1"/>
  <c r="O79" i="1"/>
  <c r="P75" i="1"/>
  <c r="O35" i="1"/>
  <c r="O77" i="1"/>
  <c r="O64" i="1"/>
  <c r="P80" i="1"/>
  <c r="O58" i="1"/>
  <c r="O14" i="1"/>
  <c r="O85" i="1"/>
  <c r="O10" i="1"/>
  <c r="P88" i="1"/>
  <c r="P73" i="1"/>
  <c r="O18" i="1"/>
  <c r="P84" i="1"/>
  <c r="O30" i="1"/>
  <c r="P71" i="1"/>
  <c r="P60" i="1"/>
  <c r="P31" i="1"/>
  <c r="P12" i="1"/>
  <c r="O39" i="1"/>
  <c r="O62" i="1"/>
  <c r="O11" i="1"/>
  <c r="P37" i="1"/>
  <c r="O63" i="1"/>
  <c r="O72" i="1"/>
  <c r="P68" i="1"/>
  <c r="P28" i="1"/>
  <c r="O74" i="1"/>
  <c r="N137" i="1"/>
  <c r="O70" i="1"/>
  <c r="O32" i="1"/>
  <c r="P20" i="1"/>
  <c r="P36" i="1"/>
  <c r="O81" i="1"/>
  <c r="P33" i="1"/>
  <c r="P86" i="1"/>
  <c r="P82" i="1"/>
  <c r="P78" i="1"/>
  <c r="O61" i="1"/>
  <c r="P38" i="1"/>
  <c r="O69" i="1"/>
  <c r="O9" i="1"/>
  <c r="O65" i="1"/>
  <c r="O57" i="1"/>
  <c r="O25" i="1"/>
  <c r="O17" i="1"/>
  <c r="P9" i="1"/>
  <c r="P29" i="1"/>
  <c r="P21" i="1"/>
  <c r="P13" i="1"/>
  <c r="P121" i="1"/>
  <c r="O121" i="1"/>
  <c r="P122" i="1"/>
  <c r="O122" i="1"/>
  <c r="P123" i="1"/>
  <c r="O123" i="1"/>
  <c r="P124" i="1"/>
  <c r="O124" i="1"/>
  <c r="P125" i="1"/>
  <c r="O125" i="1"/>
  <c r="P126" i="1"/>
  <c r="O126" i="1"/>
  <c r="P127" i="1"/>
  <c r="O127" i="1"/>
  <c r="P128" i="1"/>
  <c r="O128" i="1"/>
  <c r="P129" i="1"/>
  <c r="O129" i="1"/>
  <c r="P130" i="1"/>
  <c r="O130" i="1"/>
  <c r="P131" i="1"/>
  <c r="O131" i="1"/>
  <c r="P132" i="1"/>
  <c r="O132" i="1"/>
  <c r="P133" i="1"/>
  <c r="O133" i="1"/>
  <c r="P134" i="1"/>
  <c r="O134" i="1"/>
  <c r="P135" i="1"/>
  <c r="O135" i="1"/>
  <c r="P136" i="1"/>
  <c r="O136" i="1"/>
  <c r="P89" i="1"/>
  <c r="O89" i="1"/>
  <c r="P90" i="1"/>
  <c r="O90" i="1"/>
  <c r="P91" i="1"/>
  <c r="O91" i="1"/>
  <c r="P92" i="1"/>
  <c r="O92" i="1"/>
  <c r="P94" i="1"/>
  <c r="O94" i="1"/>
  <c r="P93" i="1"/>
  <c r="O93" i="1"/>
  <c r="P95" i="1"/>
  <c r="O95" i="1"/>
  <c r="P96" i="1"/>
  <c r="O96" i="1"/>
  <c r="P97" i="1"/>
  <c r="O97" i="1"/>
  <c r="P98" i="1"/>
  <c r="O98" i="1"/>
  <c r="P99" i="1"/>
  <c r="O99" i="1"/>
  <c r="P100" i="1"/>
  <c r="O100" i="1"/>
  <c r="P101" i="1"/>
  <c r="O101" i="1"/>
  <c r="P102" i="1"/>
  <c r="O102" i="1"/>
  <c r="P103" i="1"/>
  <c r="O103" i="1"/>
  <c r="P104" i="1"/>
  <c r="O104" i="1"/>
  <c r="P105" i="1"/>
  <c r="O105" i="1"/>
  <c r="P106" i="1"/>
  <c r="O106" i="1"/>
  <c r="P107" i="1"/>
  <c r="O107" i="1"/>
  <c r="P108" i="1"/>
  <c r="O108" i="1"/>
  <c r="P109" i="1"/>
  <c r="O109" i="1"/>
  <c r="P110" i="1"/>
  <c r="O110" i="1"/>
  <c r="P111" i="1"/>
  <c r="O111" i="1"/>
  <c r="P112" i="1"/>
  <c r="O112" i="1"/>
  <c r="P113" i="1"/>
  <c r="O113" i="1"/>
  <c r="P114" i="1"/>
  <c r="O114" i="1"/>
  <c r="P115" i="1"/>
  <c r="O115" i="1"/>
  <c r="P116" i="1"/>
  <c r="O116" i="1"/>
  <c r="P117" i="1"/>
  <c r="O117" i="1"/>
  <c r="P118" i="1"/>
  <c r="O118" i="1"/>
  <c r="P119" i="1"/>
  <c r="O119" i="1"/>
  <c r="P120" i="1"/>
  <c r="O120" i="1"/>
  <c r="P41" i="1"/>
  <c r="O41" i="1"/>
  <c r="P42" i="1"/>
  <c r="O42" i="1"/>
  <c r="P43" i="1"/>
  <c r="O43" i="1"/>
  <c r="P44" i="1"/>
  <c r="O44" i="1"/>
  <c r="P45" i="1"/>
  <c r="O45" i="1"/>
  <c r="P46" i="1"/>
  <c r="O46" i="1"/>
  <c r="P47" i="1"/>
  <c r="O47" i="1"/>
  <c r="P48" i="1"/>
  <c r="O48" i="1"/>
  <c r="P49" i="1"/>
  <c r="O49" i="1"/>
  <c r="P50" i="1"/>
  <c r="O50" i="1"/>
  <c r="P51" i="1"/>
  <c r="O51" i="1"/>
  <c r="P52" i="1"/>
  <c r="O52" i="1"/>
  <c r="P53" i="1"/>
  <c r="O53" i="1"/>
  <c r="P54" i="1"/>
  <c r="O54" i="1"/>
  <c r="P55" i="1"/>
  <c r="O55" i="1"/>
  <c r="P56" i="1"/>
  <c r="O56" i="1"/>
  <c r="O137" i="1" l="1"/>
  <c r="P137" i="1"/>
</calcChain>
</file>

<file path=xl/sharedStrings.xml><?xml version="1.0" encoding="utf-8"?>
<sst xmlns="http://schemas.openxmlformats.org/spreadsheetml/2006/main" count="839" uniqueCount="197">
  <si>
    <t>METRAJE DE APARTAMENTO</t>
  </si>
  <si>
    <t>METRAJE DE TERRAZA DESTECHADA</t>
  </si>
  <si>
    <t>PATIO DE PRIMER NIVEL</t>
  </si>
  <si>
    <t>MANZANA</t>
  </si>
  <si>
    <t>Edificio</t>
  </si>
  <si>
    <t>Unidad</t>
  </si>
  <si>
    <t>Tipo</t>
  </si>
  <si>
    <t>Piso</t>
  </si>
  <si>
    <t>Parqueos</t>
  </si>
  <si>
    <t>NOMBRE CLIENTE</t>
  </si>
  <si>
    <t>Precios US$</t>
  </si>
  <si>
    <t>RESERVA</t>
  </si>
  <si>
    <t>SEPARACION</t>
  </si>
  <si>
    <t>INICIAL</t>
  </si>
  <si>
    <t xml:space="preserve">CUOTAS 24 </t>
  </si>
  <si>
    <t>CONTRA ENTREGA</t>
  </si>
  <si>
    <t>ESTATUS</t>
  </si>
  <si>
    <t>INMOBILIARIA</t>
  </si>
  <si>
    <t>FECHA BLOQUEO</t>
  </si>
  <si>
    <t>FECHA FIN BLOQUEO</t>
  </si>
  <si>
    <t>COMENTARIO</t>
  </si>
  <si>
    <t>B</t>
  </si>
  <si>
    <t>A</t>
  </si>
  <si>
    <t>D</t>
  </si>
  <si>
    <t>JOSE MIGUEL BARRERA GALICIA</t>
  </si>
  <si>
    <t>NO DISPONIBLE</t>
  </si>
  <si>
    <t>Plusval</t>
  </si>
  <si>
    <t>CONTRATO FIRMADO</t>
  </si>
  <si>
    <t>Mande correo de recordatiro pago</t>
  </si>
  <si>
    <t>FRAIDY LANA ALMONTE</t>
  </si>
  <si>
    <t>PS Inmobiliaira</t>
  </si>
  <si>
    <t>CLIENTA LISTA PARA CONTRATO</t>
  </si>
  <si>
    <t>Pendiente mandar correo</t>
  </si>
  <si>
    <t>DISPONIBLE</t>
  </si>
  <si>
    <t>Cliente listo para hacer contrato</t>
  </si>
  <si>
    <t>JAPHET ULLOA SANCHEZ</t>
  </si>
  <si>
    <t>Tiene hasta el 19/4 para hacer el pago de sa separacion</t>
  </si>
  <si>
    <t>Debe pagar cuanto antes</t>
  </si>
  <si>
    <t>LILIANA DE LA CRUZ MENDOZA</t>
  </si>
  <si>
    <t>MR HOME</t>
  </si>
  <si>
    <t>Tiene hasta el 28/4 para hacer el pago de sa separacion</t>
  </si>
  <si>
    <t>MARANYELI BATISTA BALBUENA</t>
  </si>
  <si>
    <t>GRACILEIDY BILIANA ROMERO VERAS</t>
  </si>
  <si>
    <t>LUISA MARIA RAMIREZ GRUYAC</t>
  </si>
  <si>
    <t>BLOQUEADO</t>
  </si>
  <si>
    <t>DOES/Lagrand Real Estate-ROSY</t>
  </si>
  <si>
    <t>Esperando la precalificacion del banco para saldar separacion</t>
  </si>
  <si>
    <t xml:space="preserve">DIANA TERESA FELIZ </t>
  </si>
  <si>
    <t>HOMEWAY</t>
  </si>
  <si>
    <t>NICAURY GERALYS ALCANTARA GARCIA y BRIAN BOYD STARKS</t>
  </si>
  <si>
    <t>East Home</t>
  </si>
  <si>
    <t>JUNIOR EMILIO ACOSTA POLANCO</t>
  </si>
  <si>
    <t>Tiene hasta el 24/4 para hacer el pago de sa separacion</t>
  </si>
  <si>
    <t>MASSIEL GUZMAN MANZANA</t>
  </si>
  <si>
    <t>ANTHONY ARAUJO REYES</t>
  </si>
  <si>
    <t>Oferta Inmobiliaria</t>
  </si>
  <si>
    <t>JERONIDES PERALTA CONCEPCION</t>
  </si>
  <si>
    <t>por whatsapp</t>
  </si>
  <si>
    <t>C</t>
  </si>
  <si>
    <t>JULIO ALFREDO RAVELO PEREZ</t>
  </si>
  <si>
    <t>YEISON IGNACIO ALVAREZ DIPRE Y LANDA TEJADA DE ALVAREZ</t>
  </si>
  <si>
    <t>TUCASARD</t>
  </si>
  <si>
    <t>INVERSIONES ELOP, S.R.L</t>
  </si>
  <si>
    <t>GEILYN MENDEZ PEÑA</t>
  </si>
  <si>
    <t>JOSE UJANEL UREÑA UREÑA</t>
  </si>
  <si>
    <t>Tiene hasta el 1/5 para hacer el pago de sa separacion</t>
  </si>
  <si>
    <t>EIMY PAMELA MOYA ALCANTARA</t>
  </si>
  <si>
    <t>Tiene hasta el 10/5 para hacer el pago de sa separacion</t>
  </si>
  <si>
    <t>OSMAYLIN RIVERA</t>
  </si>
  <si>
    <t>Tiene hasta el 17/5 para hacer el pago de sa separacion</t>
  </si>
  <si>
    <t>DAYANARA CRISTINA SORIANO POLANCO</t>
  </si>
  <si>
    <t>Tiene hasta el 30/4 para hacer el pago de sa separacion</t>
  </si>
  <si>
    <t>RAFAEL FRANTI GONZALEZ PEREZ</t>
  </si>
  <si>
    <t>DOES/AUTOPROPIEDAD</t>
  </si>
  <si>
    <t>LUISANA JOSEFINA JAQUEZ RAMIREZ</t>
  </si>
  <si>
    <t>VICTORIA YOKANY PUJOLS Y ANEUDY MOYA SORIANO</t>
  </si>
  <si>
    <t>Tiene hasta el 23 de abril para la separación</t>
  </si>
  <si>
    <t>GEIDIS DAVID CUEVAS NOVAS Y MARIA GUADALUPE PEREZ FERRERAS</t>
  </si>
  <si>
    <t>Inmoniliaria Reservas</t>
  </si>
  <si>
    <t>OLIVER NORT DE JESUS RICARDO Y LIANLLY MAIRINI URIBE GUZMAN</t>
  </si>
  <si>
    <t>E</t>
  </si>
  <si>
    <t>RAQUEL ALLISONS MATA PIMENTEL</t>
  </si>
  <si>
    <t>Tiene hasta el 20 de abril para la separación</t>
  </si>
  <si>
    <t>TAMARA MATA PIMENTEL</t>
  </si>
  <si>
    <t>PABLO JUNIOR ENCARNACION GARCIA , FRANKLYN MACKENSI CAPELLAN GUZMAN Y JORGE LUIS CAPELLAN GUZMAN`</t>
  </si>
  <si>
    <t>Tiene hasta el 20/5 para hacer el pago de sa separacion</t>
  </si>
  <si>
    <t>XAYMARIE NARVAEZ FIGUEROA</t>
  </si>
  <si>
    <t>YESSICA ROSSELY BRAZOBAN BRAZOBAN</t>
  </si>
  <si>
    <t>Tiene hasta el 30 de abril para la separación</t>
  </si>
  <si>
    <t>RAFFY ESMIEL MARTINEZ JAQUEZ</t>
  </si>
  <si>
    <t>DOES/CRISMELY</t>
  </si>
  <si>
    <t>F</t>
  </si>
  <si>
    <t>MERCEDES ALTAGRACIA PICHARDO DE SUAREZ</t>
  </si>
  <si>
    <t>Tiene hasta el 26 de abril para la separación</t>
  </si>
  <si>
    <t>YARIEL NUÑEZ DIAZ</t>
  </si>
  <si>
    <t>LOFT HOME</t>
  </si>
  <si>
    <t>Tiene hasta el 24 de abril para la separación</t>
  </si>
  <si>
    <t>LIZ YAZMIN CASTRO</t>
  </si>
  <si>
    <t>Tiene hasta el 11/5 para la separación</t>
  </si>
  <si>
    <t>ELIZABETH DE LA CRUZ JEREZ</t>
  </si>
  <si>
    <t>DOES/TERRA HOME</t>
  </si>
  <si>
    <t>Tiene hasta el 20/5 para la separación</t>
  </si>
  <si>
    <t>I</t>
  </si>
  <si>
    <t>NESTOR A. MARIA DOMINGUEZ</t>
  </si>
  <si>
    <t>LUIS MARIANO RODRIGUEZ DESPRADEL Y ANA LUISA DOMINGUEZ</t>
  </si>
  <si>
    <t>Tiene hasta el 1/04 para hacer el pago de sa separacion</t>
  </si>
  <si>
    <t>LUCAS DAMIAN MOYA GARCIA</t>
  </si>
  <si>
    <t>CLIENTA VIELE AL PAIS EL 3 DE JUNIO (SE VA A ESPERAR)</t>
  </si>
  <si>
    <t>YORCA ELIZABETH POLANCO BETHANCOURT</t>
  </si>
  <si>
    <t>KATTY ENCARNACION MONTERO</t>
  </si>
  <si>
    <t>NICOL ENCARNACION MONTERO</t>
  </si>
  <si>
    <t>PEDRO JOSE SORIANO PIMENTEL Y ORFELINA KATIUSCA MARTINEZ LAJARA</t>
  </si>
  <si>
    <t>ANA MERCEDES SANCHEZ PARRA</t>
  </si>
  <si>
    <t>GENESIS RODRIGUEZ AGUASVIVAS</t>
  </si>
  <si>
    <t>YENNY ANTONIO LORENZO PEREZ</t>
  </si>
  <si>
    <t>STEPHANI AURELINA BORROME</t>
  </si>
  <si>
    <t>AGUEDA SANCHEZ DE GROSS</t>
  </si>
  <si>
    <t>ENMANUEL SOTERO SORIANO MEJIA</t>
  </si>
  <si>
    <t>STEVEN VASQUEZ LANA</t>
  </si>
  <si>
    <t>YAMILKA ARIAS GALVA</t>
  </si>
  <si>
    <t>DOES/ALCASANCH INVESTMENT REAL ESTATE</t>
  </si>
  <si>
    <t>Tiene hasta el 15/5 para hacer el pago de sa separacion</t>
  </si>
  <si>
    <t>JOEL MARTE PEREZ</t>
  </si>
  <si>
    <t>J</t>
  </si>
  <si>
    <t>YOCAIRA PAMELA PEREZ DEL ORBE</t>
  </si>
  <si>
    <t>Tiene hasta el 7/5 para hacer el pago de sa separacion</t>
  </si>
  <si>
    <t>ANA ESTHER CALDERON ORTIZ</t>
  </si>
  <si>
    <t>Tiene hasta el 30/04 para hacer el pago de sa separacion</t>
  </si>
  <si>
    <t>ALIX BERNARDO DURAN PEÑA</t>
  </si>
  <si>
    <t>ESTEFANY LISVETH SIERRA FERRERAS</t>
  </si>
  <si>
    <t>Tiene hasta el 14/5 para hacer el pago de sa separacion</t>
  </si>
  <si>
    <t>PALOMA ELIZABETH MORALES GUILAMO</t>
  </si>
  <si>
    <t>CLIENTA COMPLETARA EL 29 DE MAYO</t>
  </si>
  <si>
    <t>NELIS CABAN</t>
  </si>
  <si>
    <t>YOSILANNY LIBELIS LOPEZ DE FREITES</t>
  </si>
  <si>
    <t>ZOILA MADELIN PUJOLS DE LOS SANTOS</t>
  </si>
  <si>
    <t>Tiene hasta el 15 de mayo para la separación</t>
  </si>
  <si>
    <t>JORGE GABRIEL ORTIZ GUZMAN</t>
  </si>
  <si>
    <t>Tiene hasta el 25/04 para hacer el pago de sa separacion</t>
  </si>
  <si>
    <t>INAYELIN ESTHER LORENZO MEDINA</t>
  </si>
  <si>
    <t>Tiene hasta el 9 de mayo para la separación</t>
  </si>
  <si>
    <t>KIARA CHAVEZ DE MIR</t>
  </si>
  <si>
    <t>Tiene hasta el 7 de mayo para la separación</t>
  </si>
  <si>
    <t>AVTAR S VASU</t>
  </si>
  <si>
    <t>Tiene hasta el 1 de mayo para la separación</t>
  </si>
  <si>
    <t>JASPAL SINGH VASU</t>
  </si>
  <si>
    <t>GENESIS FABIOLA CACERES CAMPUSANO</t>
  </si>
  <si>
    <t>Tiene hasta el 8 de mayo para la separación</t>
  </si>
  <si>
    <t>EAST HOME</t>
  </si>
  <si>
    <t>POR WHATSAPP</t>
  </si>
  <si>
    <t>K</t>
  </si>
  <si>
    <t>MERCEDES NOEMI PAYANO TAVERAS DE ABREU</t>
  </si>
  <si>
    <t>AMARILIS RIVERA</t>
  </si>
  <si>
    <t>Tiene hasta el 21 de abril para la separación</t>
  </si>
  <si>
    <t>LUIS CARLOS MARTINEZ MARTINEZ</t>
  </si>
  <si>
    <t>KEILA MARIBEL CRUZ</t>
  </si>
  <si>
    <t xml:space="preserve">ALONDRA NICOL MORALES GUILAMO </t>
  </si>
  <si>
    <t>Tiene hasta el 19 de abril para la separación</t>
  </si>
  <si>
    <t>ANDREINA EMILIA DE LA CRUZ GERMOSEN</t>
  </si>
  <si>
    <t>EMILIANO ZAPATA ZARMONA</t>
  </si>
  <si>
    <t>Tiene hasta el 5 de mayo para la separación</t>
  </si>
  <si>
    <t xml:space="preserve">FRANCISCO GUILLERMO MATEO BAEZ </t>
  </si>
  <si>
    <t>DARLIN GABRIEL ALMANZAR BURGOS Y JULIKA VALESKA SANTANA TAVAREZ </t>
  </si>
  <si>
    <t>DOES/PS Inmobiliaira</t>
  </si>
  <si>
    <t>LAURA MARINA SANTANA DISLA</t>
  </si>
  <si>
    <t>Tiene hasta el 2 de mayo para la separación</t>
  </si>
  <si>
    <t>PABLO JUNIOR ENCARNACION GARCIA , FRANKLYN MACKENSI CAPELLAN GUZMAN Y JORGE LUIS CAPELLAN GUZMAN</t>
  </si>
  <si>
    <t>Tiene hasta el 20 de mayo para la separación</t>
  </si>
  <si>
    <t>MASSIEL CAROLINA CUELLO MONEGRO Y LEONEL MAYOVANEX MOTA REYES</t>
  </si>
  <si>
    <t>Tiene hasta el 10 de mayo para la separación</t>
  </si>
  <si>
    <t>HENRI DE LOS SANTOS CUEVAS</t>
  </si>
  <si>
    <t>CARLOS LINARES CEBALLOS</t>
  </si>
  <si>
    <t>L</t>
  </si>
  <si>
    <t>JUAN ANDRES MANCEBO</t>
  </si>
  <si>
    <t>MARGARITA ROSA REYES HIRALDO</t>
  </si>
  <si>
    <t xml:space="preserve">PS INMOBILIARIA </t>
  </si>
  <si>
    <t>MELANY PAOLA BATISTA RODRIGUEZ</t>
  </si>
  <si>
    <t>ALEJANDRIA BRATINIL GARCIA DE HANDFIELD</t>
  </si>
  <si>
    <t>Tiene hasta el 17 de mayo para la separación</t>
  </si>
  <si>
    <t>CARMEN YOLANDA ECHAVARRIA PEREZ</t>
  </si>
  <si>
    <t>Tiene hasta el 18 de mayo para la separación</t>
  </si>
  <si>
    <t>LISBETH DOMINGUEZ</t>
  </si>
  <si>
    <t>RITA MERCEDES ACEVEDO ABREU</t>
  </si>
  <si>
    <t>MARIAH DANIELLE BALLARD</t>
  </si>
  <si>
    <t>Tiene hasta el 6 de mayo para la separación</t>
  </si>
  <si>
    <t>EVELYN ELIZABETH DE LA CRUZ Y JAIME JUNIOR URIBE</t>
  </si>
  <si>
    <t>Homeway</t>
  </si>
  <si>
    <t>M</t>
  </si>
  <si>
    <t>LEONARDO ANTONIO TELLERIA SUERO</t>
  </si>
  <si>
    <t>DOES/Yessy master Home</t>
  </si>
  <si>
    <t>CAONABO JAVIER RAVELO OLIVER</t>
  </si>
  <si>
    <t>ROSILENI ALMONTE MOYA</t>
  </si>
  <si>
    <t>TOTAL DE LA PRIMERA ETAPA FASE I</t>
  </si>
  <si>
    <t>APARTAMENTOS</t>
  </si>
  <si>
    <t>TIMER</t>
  </si>
  <si>
    <t>CELDAS VISIBLES</t>
  </si>
  <si>
    <t>CELDA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</si>
</sst>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C0A]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5" xfId="0" applyNumberFormat="1" applyFill="1" applyBorder="1"/>
    <xf numFmtId="164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14" fontId="0" fillId="0" borderId="0" xfId="0" applyNumberFormat="1"/>
    <xf numFmtId="14" fontId="1" fillId="3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5" fillId="2" borderId="16" xfId="0" applyFont="1" applyFill="1" applyBorder="1" applyAlignment="1">
      <alignment horizontal="left"/>
    </xf>
    <xf numFmtId="164" fontId="0" fillId="2" borderId="16" xfId="0" applyNumberFormat="1" applyFill="1" applyBorder="1" applyAlignment="1">
      <alignment horizontal="center"/>
    </xf>
    <xf numFmtId="164" fontId="0" fillId="2" borderId="2" xfId="0" applyNumberFormat="1" applyFill="1" applyBorder="1"/>
    <xf numFmtId="164" fontId="0" fillId="2" borderId="17" xfId="0" applyNumberFormat="1" applyFill="1" applyBorder="1" applyAlignment="1">
      <alignment horizontal="center"/>
    </xf>
    <xf numFmtId="164" fontId="1" fillId="4" borderId="19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164" fontId="9" fillId="4" borderId="9" xfId="0" applyNumberFormat="1" applyFont="1" applyFill="1" applyBorder="1" applyAlignment="1">
      <alignment horizontal="center"/>
    </xf>
    <xf numFmtId="0" fontId="0" fillId="7" borderId="0" xfId="0" applyFill="1"/>
    <xf numFmtId="0" fontId="0" fillId="6" borderId="0" xfId="0" applyFill="1"/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/>
    </xf>
    <xf numFmtId="164" fontId="12" fillId="2" borderId="5" xfId="0" applyNumberFormat="1" applyFont="1" applyFill="1" applyBorder="1"/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0" borderId="8" xfId="0" applyFont="1" applyBorder="1"/>
    <xf numFmtId="164" fontId="12" fillId="2" borderId="8" xfId="0" applyNumberFormat="1" applyFont="1" applyFill="1" applyBorder="1" applyAlignment="1">
      <alignment horizontal="center"/>
    </xf>
    <xf numFmtId="164" fontId="12" fillId="2" borderId="8" xfId="0" applyNumberFormat="1" applyFont="1" applyFill="1" applyBorder="1"/>
    <xf numFmtId="0" fontId="6" fillId="0" borderId="8" xfId="0" applyFont="1" applyBorder="1"/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0" borderId="11" xfId="0" applyFont="1" applyBorder="1"/>
    <xf numFmtId="164" fontId="12" fillId="2" borderId="11" xfId="0" applyNumberFormat="1" applyFont="1" applyFill="1" applyBorder="1" applyAlignment="1">
      <alignment horizontal="center"/>
    </xf>
    <xf numFmtId="164" fontId="12" fillId="2" borderId="11" xfId="0" applyNumberFormat="1" applyFont="1" applyFill="1" applyBorder="1"/>
    <xf numFmtId="0" fontId="0" fillId="0" borderId="8" xfId="0" applyBorder="1"/>
    <xf numFmtId="14" fontId="0" fillId="0" borderId="8" xfId="0" applyNumberFormat="1" applyBorder="1"/>
    <xf numFmtId="0" fontId="8" fillId="0" borderId="8" xfId="0" applyFont="1" applyBorder="1"/>
    <xf numFmtId="164" fontId="0" fillId="2" borderId="14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4" borderId="0" xfId="0" applyFill="1"/>
    <xf numFmtId="0" fontId="0" fillId="8" borderId="0" xfId="0" applyFill="1"/>
    <xf numFmtId="0" fontId="13" fillId="0" borderId="8" xfId="0" applyFont="1" applyBorder="1"/>
    <xf numFmtId="164" fontId="0" fillId="0" borderId="5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0" fontId="6" fillId="0" borderId="5" xfId="0" applyFont="1" applyBorder="1"/>
    <xf numFmtId="0" fontId="8" fillId="2" borderId="8" xfId="0" applyFont="1" applyFill="1" applyBorder="1"/>
    <xf numFmtId="0" fontId="6" fillId="0" borderId="13" xfId="0" applyFont="1" applyBorder="1"/>
    <xf numFmtId="0" fontId="1" fillId="3" borderId="17" xfId="0" applyFont="1" applyFill="1" applyBorder="1" applyAlignment="1">
      <alignment horizontal="center" vertical="center"/>
    </xf>
    <xf numFmtId="0" fontId="6" fillId="0" borderId="11" xfId="0" applyFont="1" applyBorder="1"/>
    <xf numFmtId="0" fontId="15" fillId="0" borderId="8" xfId="0" applyFont="1" applyBorder="1"/>
    <xf numFmtId="0" fontId="12" fillId="0" borderId="1" xfId="0" applyFont="1" applyBorder="1"/>
    <xf numFmtId="164" fontId="12" fillId="2" borderId="13" xfId="0" applyNumberFormat="1" applyFont="1" applyFill="1" applyBorder="1" applyAlignment="1">
      <alignment horizontal="center"/>
    </xf>
    <xf numFmtId="164" fontId="0" fillId="0" borderId="13" xfId="0" applyNumberFormat="1" applyBorder="1"/>
    <xf numFmtId="164" fontId="12" fillId="2" borderId="6" xfId="0" applyNumberFormat="1" applyFont="1" applyFill="1" applyBorder="1"/>
    <xf numFmtId="164" fontId="12" fillId="2" borderId="9" xfId="0" applyNumberFormat="1" applyFont="1" applyFill="1" applyBorder="1"/>
    <xf numFmtId="164" fontId="12" fillId="2" borderId="12" xfId="0" applyNumberFormat="1" applyFont="1" applyFill="1" applyBorder="1"/>
    <xf numFmtId="164" fontId="12" fillId="2" borderId="16" xfId="0" applyNumberFormat="1" applyFont="1" applyFill="1" applyBorder="1" applyAlignment="1">
      <alignment horizontal="center"/>
    </xf>
    <xf numFmtId="164" fontId="0" fillId="0" borderId="16" xfId="0" applyNumberFormat="1" applyBorder="1"/>
    <xf numFmtId="0" fontId="6" fillId="2" borderId="8" xfId="0" applyFont="1" applyFill="1" applyBorder="1"/>
    <xf numFmtId="0" fontId="6" fillId="2" borderId="11" xfId="0" applyFont="1" applyFill="1" applyBorder="1"/>
    <xf numFmtId="0" fontId="5" fillId="6" borderId="11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0" borderId="1" xfId="0" applyFont="1" applyBorder="1"/>
    <xf numFmtId="0" fontId="1" fillId="0" borderId="20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4" fontId="1" fillId="3" borderId="17" xfId="0" applyNumberFormat="1" applyFont="1" applyFill="1" applyBorder="1" applyAlignment="1">
      <alignment horizontal="center" vertical="center"/>
    </xf>
    <xf numFmtId="14" fontId="0" fillId="2" borderId="0" xfId="0" applyNumberFormat="1" applyFill="1"/>
    <xf numFmtId="164" fontId="0" fillId="4" borderId="6" xfId="0" applyNumberFormat="1" applyFill="1" applyBorder="1" applyAlignment="1">
      <alignment horizontal="center" vertical="center"/>
    </xf>
    <xf numFmtId="164" fontId="1" fillId="4" borderId="22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14" fontId="0" fillId="4" borderId="8" xfId="0" applyNumberFormat="1" applyFill="1" applyBorder="1" applyAlignment="1">
      <alignment wrapText="1"/>
    </xf>
    <xf numFmtId="14" fontId="0" fillId="2" borderId="8" xfId="0" applyNumberFormat="1" applyFill="1" applyBorder="1" applyAlignment="1">
      <alignment wrapText="1"/>
    </xf>
    <xf numFmtId="0" fontId="11" fillId="0" borderId="8" xfId="0" applyFont="1" applyBorder="1"/>
    <xf numFmtId="0" fontId="0" fillId="2" borderId="8" xfId="0" applyFill="1" applyBorder="1"/>
    <xf numFmtId="14" fontId="0" fillId="2" borderId="8" xfId="0" applyNumberFormat="1" applyFill="1" applyBorder="1"/>
    <xf numFmtId="0" fontId="4" fillId="2" borderId="8" xfId="0" applyFont="1" applyFill="1" applyBorder="1"/>
    <xf numFmtId="14" fontId="0" fillId="6" borderId="8" xfId="0" applyNumberFormat="1" applyFill="1" applyBorder="1" applyAlignment="1">
      <alignment wrapText="1"/>
    </xf>
    <xf numFmtId="0" fontId="4" fillId="0" borderId="8" xfId="0" applyFont="1" applyBorder="1"/>
    <xf numFmtId="14" fontId="0" fillId="4" borderId="8" xfId="0" applyNumberFormat="1" applyFill="1" applyBorder="1" applyAlignment="1">
      <alignment horizontal="right" wrapText="1"/>
    </xf>
    <xf numFmtId="14" fontId="0" fillId="2" borderId="8" xfId="0" applyNumberFormat="1" applyFill="1" applyBorder="1" applyAlignment="1">
      <alignment horizontal="right" wrapText="1"/>
    </xf>
    <xf numFmtId="14" fontId="0" fillId="8" borderId="8" xfId="0" applyNumberFormat="1" applyFill="1" applyBorder="1" applyAlignment="1">
      <alignment wrapText="1"/>
    </xf>
    <xf numFmtId="0" fontId="10" fillId="0" borderId="8" xfId="0" applyFont="1" applyBorder="1"/>
    <xf numFmtId="14" fontId="10" fillId="0" borderId="8" xfId="0" applyNumberFormat="1" applyFont="1" applyBorder="1"/>
    <xf numFmtId="14" fontId="10" fillId="4" borderId="8" xfId="0" applyNumberFormat="1" applyFont="1" applyFill="1" applyBorder="1" applyAlignment="1">
      <alignment wrapText="1"/>
    </xf>
    <xf numFmtId="14" fontId="10" fillId="2" borderId="8" xfId="0" applyNumberFormat="1" applyFont="1" applyFill="1" applyBorder="1" applyAlignment="1">
      <alignment wrapText="1"/>
    </xf>
    <xf numFmtId="14" fontId="0" fillId="0" borderId="8" xfId="0" applyNumberFormat="1" applyBorder="1" applyAlignment="1">
      <alignment wrapText="1"/>
    </xf>
    <xf numFmtId="0" fontId="16" fillId="0" borderId="8" xfId="0" applyFont="1" applyBorder="1"/>
    <xf numFmtId="14" fontId="0" fillId="4" borderId="8" xfId="0" applyNumberFormat="1" applyFill="1" applyBorder="1"/>
    <xf numFmtId="0" fontId="14" fillId="0" borderId="8" xfId="0" applyFont="1" applyBorder="1"/>
    <xf numFmtId="14" fontId="0" fillId="6" borderId="8" xfId="0" applyNumberFormat="1" applyFill="1" applyBorder="1"/>
    <xf numFmtId="14" fontId="14" fillId="6" borderId="8" xfId="0" applyNumberFormat="1" applyFont="1" applyFill="1" applyBorder="1"/>
    <xf numFmtId="14" fontId="14" fillId="2" borderId="8" xfId="0" applyNumberFormat="1" applyFont="1" applyFill="1" applyBorder="1"/>
    <xf numFmtId="0" fontId="4" fillId="0" borderId="8" xfId="0" applyFont="1" applyBorder="1" applyAlignment="1">
      <alignment horizontal="left"/>
    </xf>
    <xf numFmtId="14" fontId="0" fillId="7" borderId="8" xfId="0" applyNumberFormat="1" applyFill="1" applyBorder="1"/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7" borderId="0" xfId="0" applyFont="1" applyFill="1"/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2" tint="-0.89999084444715716"/>
      </font>
      <fill>
        <patternFill patternType="solid">
          <bgColor rgb="FFC6EFCE"/>
        </patternFill>
      </fill>
    </dxf>
    <dxf>
      <font>
        <color theme="1" tint="4.9989318521683403E-2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97193</xdr:colOff>
      <xdr:row>0</xdr:row>
      <xdr:rowOff>106915</xdr:rowOff>
    </xdr:from>
    <xdr:to>
      <xdr:col>3</xdr:col>
      <xdr:colOff>448647</xdr:colOff>
      <xdr:row>6</xdr:row>
      <xdr:rowOff>30326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424373-E9B7-4FEB-9363-FAD82D33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93" y="106915"/>
          <a:ext cx="2894629" cy="1123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D9AA-986F-473C-96BF-9EF30E296791}">
  <dimension ref="A1:X139"/>
  <sheetViews>
    <sheetView tabSelected="1" view="pageBreakPreview" topLeftCell="A7" zoomScaleNormal="100" zoomScaleSheetLayoutView="100" workbookViewId="0">
      <pane ySplit="2" topLeftCell="A9" activePane="bottomLeft" state="frozen"/>
      <selection activeCell="O7" sqref="O7"/>
      <selection pane="bottomLeft" activeCell="J18" sqref="J18"/>
    </sheetView>
  </sheetViews>
  <sheetFormatPr baseColWidth="10" defaultColWidth="11.44140625" defaultRowHeight="15" customHeight="1" x14ac:dyDescent="0.3"/>
  <cols>
    <col min="1" max="1" width="11.88671875" customWidth="1"/>
    <col min="2" max="2" width="14.109375" customWidth="1"/>
    <col min="3" max="3" width="12.109375" customWidth="1"/>
    <col min="5" max="5" width="7" customWidth="1"/>
    <col min="6" max="6" width="8.6640625" customWidth="1"/>
    <col min="7" max="7" width="6.33203125" customWidth="1"/>
    <col min="8" max="8" width="8.5546875" customWidth="1"/>
    <col min="9" max="9" width="9.109375" customWidth="1"/>
    <col min="10" max="10" width="40.44140625" customWidth="1"/>
    <col min="11" max="11" width="19.6640625" customWidth="1"/>
    <col min="12" max="12" width="19.109375" customWidth="1"/>
    <col min="13" max="13" width="17.6640625" customWidth="1"/>
    <col min="14" max="14" width="15.88671875" customWidth="1"/>
    <col min="15" max="15" width="18.109375" customWidth="1"/>
    <col min="16" max="16" width="14.88671875" customWidth="1"/>
    <col min="17" max="17" width="25.88671875" customWidth="1"/>
    <col min="18" max="18" width="19" customWidth="1"/>
    <col min="19" max="20" width="25.109375" style="22" customWidth="1"/>
    <col min="21" max="21" width="25.109375" style="107" customWidth="1"/>
    <col min="22" max="22" width="51.33203125" bestFit="1" customWidth="1"/>
    <col min="23" max="23" width="7.6640625" customWidth="1"/>
  </cols>
  <sheetData>
    <row r="1" spans="1:24" ht="14.4" x14ac:dyDescent="0.3">
      <c r="A1" s="1"/>
      <c r="B1" s="1"/>
      <c r="C1" s="1"/>
      <c r="D1" s="1"/>
      <c r="E1" s="1"/>
      <c r="F1" s="1"/>
      <c r="K1" s="2"/>
      <c r="L1" s="3"/>
      <c r="M1" s="2"/>
      <c r="N1" s="3"/>
      <c r="O1" s="2"/>
      <c r="P1" s="2"/>
      <c r="Q1" s="2"/>
      <c r="U1" s="22"/>
    </row>
    <row r="2" spans="1:24" ht="14.4" x14ac:dyDescent="0.3">
      <c r="A2" s="1"/>
      <c r="B2" s="1"/>
      <c r="C2" s="1"/>
      <c r="D2" s="1"/>
      <c r="E2" s="1"/>
      <c r="F2" s="1"/>
      <c r="K2" s="2"/>
      <c r="L2" s="3"/>
      <c r="M2" s="2"/>
      <c r="N2" s="3"/>
      <c r="O2" s="2"/>
      <c r="P2" s="2"/>
      <c r="Q2" s="2"/>
      <c r="U2" s="22"/>
    </row>
    <row r="3" spans="1:24" ht="14.4" x14ac:dyDescent="0.3">
      <c r="A3" s="1"/>
      <c r="B3" s="1"/>
      <c r="C3" s="1"/>
      <c r="D3" s="1"/>
      <c r="E3" s="1"/>
      <c r="F3" s="1"/>
      <c r="K3" s="2"/>
      <c r="L3" s="3"/>
      <c r="M3" s="2"/>
      <c r="N3" s="3"/>
      <c r="O3" s="2"/>
      <c r="P3" s="2"/>
      <c r="Q3" s="2"/>
      <c r="U3" s="22"/>
    </row>
    <row r="4" spans="1:24" ht="14.4" x14ac:dyDescent="0.3">
      <c r="A4" s="1"/>
      <c r="B4" s="1"/>
      <c r="C4" s="1"/>
      <c r="D4" s="1"/>
      <c r="E4" s="1"/>
      <c r="F4" s="1"/>
      <c r="K4" s="2"/>
      <c r="L4" s="3"/>
      <c r="M4" s="2"/>
      <c r="N4" s="3"/>
      <c r="O4" s="2"/>
      <c r="P4" s="2"/>
      <c r="Q4" s="2"/>
      <c r="U4" s="22"/>
    </row>
    <row r="5" spans="1:24" ht="14.4" x14ac:dyDescent="0.3">
      <c r="A5" s="1"/>
      <c r="B5" s="1"/>
      <c r="C5" s="1"/>
      <c r="D5" s="1"/>
      <c r="E5" s="1"/>
      <c r="F5" s="1"/>
      <c r="K5" s="2"/>
      <c r="L5" s="3"/>
      <c r="M5" s="2"/>
      <c r="N5" s="3"/>
      <c r="O5" s="2"/>
      <c r="P5" s="2"/>
      <c r="Q5" s="2"/>
      <c r="U5" s="22"/>
    </row>
    <row r="6" spans="1:24" ht="14.4" x14ac:dyDescent="0.3">
      <c r="A6" s="1"/>
      <c r="B6" s="1"/>
      <c r="C6" s="1"/>
      <c r="D6" s="1"/>
      <c r="E6" s="1"/>
      <c r="F6" s="1"/>
      <c r="K6" s="2"/>
      <c r="L6" s="3"/>
      <c r="M6" s="2"/>
      <c r="N6" s="3"/>
      <c r="O6" s="2"/>
      <c r="P6" s="2"/>
      <c r="Q6" s="2"/>
      <c r="R6" s="3"/>
      <c r="U6" s="22"/>
    </row>
    <row r="7" spans="1:24" ht="21.6" thickBot="1" x14ac:dyDescent="0.45">
      <c r="A7" s="140" t="s">
        <v>195</v>
      </c>
      <c r="B7" s="141"/>
      <c r="C7" s="141"/>
      <c r="D7" s="141"/>
      <c r="E7" s="141"/>
      <c r="F7" s="141"/>
      <c r="G7" s="141"/>
      <c r="H7" s="141"/>
      <c r="I7" s="142"/>
      <c r="J7" s="146" t="s">
        <v>196</v>
      </c>
      <c r="K7" s="143" t="s">
        <v>195</v>
      </c>
      <c r="L7" s="143"/>
      <c r="M7" s="143"/>
      <c r="N7" s="143"/>
      <c r="O7" s="143"/>
      <c r="P7" s="143"/>
      <c r="Q7" s="143"/>
      <c r="R7" s="145" t="s">
        <v>196</v>
      </c>
      <c r="S7" s="144" t="s">
        <v>195</v>
      </c>
      <c r="T7" s="144"/>
      <c r="U7" s="144"/>
      <c r="V7" s="145" t="s">
        <v>196</v>
      </c>
    </row>
    <row r="8" spans="1:24" ht="82.5" customHeight="1" thickBot="1" x14ac:dyDescent="0.35">
      <c r="A8" s="137" t="s">
        <v>0</v>
      </c>
      <c r="B8" s="138" t="s">
        <v>1</v>
      </c>
      <c r="C8" s="138" t="s">
        <v>2</v>
      </c>
      <c r="D8" s="139" t="s">
        <v>3</v>
      </c>
      <c r="E8" s="139" t="s">
        <v>4</v>
      </c>
      <c r="F8" s="139" t="s">
        <v>5</v>
      </c>
      <c r="G8" s="139" t="s">
        <v>6</v>
      </c>
      <c r="H8" s="139" t="s">
        <v>7</v>
      </c>
      <c r="I8" s="139" t="s">
        <v>8</v>
      </c>
      <c r="J8" s="24" t="s">
        <v>9</v>
      </c>
      <c r="K8" s="5" t="s">
        <v>10</v>
      </c>
      <c r="L8" s="4" t="s">
        <v>11</v>
      </c>
      <c r="M8" s="4" t="s">
        <v>12</v>
      </c>
      <c r="N8" s="4" t="s">
        <v>13</v>
      </c>
      <c r="O8" s="6" t="s">
        <v>14</v>
      </c>
      <c r="P8" s="25" t="s">
        <v>15</v>
      </c>
      <c r="Q8" s="7" t="s">
        <v>16</v>
      </c>
      <c r="R8" s="26" t="s">
        <v>17</v>
      </c>
      <c r="S8" s="23" t="s">
        <v>18</v>
      </c>
      <c r="T8" s="23" t="s">
        <v>19</v>
      </c>
      <c r="U8" s="106" t="s">
        <v>194</v>
      </c>
      <c r="V8" s="85" t="s">
        <v>20</v>
      </c>
    </row>
    <row r="9" spans="1:24" ht="13.5" customHeight="1" x14ac:dyDescent="0.3">
      <c r="A9" s="8">
        <v>76.34</v>
      </c>
      <c r="B9" s="9"/>
      <c r="C9" s="9">
        <v>22.29</v>
      </c>
      <c r="D9" s="9" t="s">
        <v>21</v>
      </c>
      <c r="E9" s="9" t="s">
        <v>22</v>
      </c>
      <c r="F9" s="9">
        <v>101</v>
      </c>
      <c r="G9" s="9" t="s">
        <v>23</v>
      </c>
      <c r="H9" s="9">
        <v>1</v>
      </c>
      <c r="I9" s="9">
        <v>1</v>
      </c>
      <c r="J9" s="27" t="s">
        <v>24</v>
      </c>
      <c r="K9" s="10">
        <v>75958.3</v>
      </c>
      <c r="L9" s="10">
        <v>500</v>
      </c>
      <c r="M9" s="10">
        <v>3297.9150000000004</v>
      </c>
      <c r="N9" s="11">
        <f>+K9*15%</f>
        <v>11393.745000000001</v>
      </c>
      <c r="O9" s="12">
        <f>+N9/24</f>
        <v>474.73937500000005</v>
      </c>
      <c r="P9" s="70">
        <f>+K9-N9-L9-M9</f>
        <v>60766.64</v>
      </c>
      <c r="Q9" s="21" t="s">
        <v>25</v>
      </c>
      <c r="R9" s="67" t="s">
        <v>26</v>
      </c>
      <c r="S9" s="68">
        <v>46074</v>
      </c>
      <c r="T9" s="113">
        <v>46102</v>
      </c>
      <c r="U9" s="114"/>
      <c r="V9" s="61" t="s">
        <v>27</v>
      </c>
      <c r="W9" s="50"/>
      <c r="X9" t="s">
        <v>28</v>
      </c>
    </row>
    <row r="10" spans="1:24" ht="14.4" x14ac:dyDescent="0.3">
      <c r="A10" s="13">
        <v>76.34</v>
      </c>
      <c r="B10" s="14"/>
      <c r="C10" s="14">
        <v>22.29</v>
      </c>
      <c r="D10" s="14" t="s">
        <v>21</v>
      </c>
      <c r="E10" s="14" t="s">
        <v>22</v>
      </c>
      <c r="F10" s="14">
        <v>102</v>
      </c>
      <c r="G10" s="14" t="s">
        <v>23</v>
      </c>
      <c r="H10" s="14">
        <v>1</v>
      </c>
      <c r="I10" s="14">
        <v>1</v>
      </c>
      <c r="J10" s="33" t="s">
        <v>29</v>
      </c>
      <c r="K10" s="15">
        <v>75958.3</v>
      </c>
      <c r="L10" s="15">
        <v>500</v>
      </c>
      <c r="M10" s="15">
        <v>3297.9150000000004</v>
      </c>
      <c r="N10" s="11">
        <f t="shared" ref="N10:N72" si="0">+K10*15%</f>
        <v>11393.745000000001</v>
      </c>
      <c r="O10" s="12">
        <f t="shared" ref="O10:O72" si="1">+N10/24</f>
        <v>474.73937500000005</v>
      </c>
      <c r="P10" s="70">
        <f t="shared" ref="P10:P32" si="2">+K10-N10-L10-M10</f>
        <v>60766.64</v>
      </c>
      <c r="Q10" s="20" t="s">
        <v>25</v>
      </c>
      <c r="R10" s="67" t="s">
        <v>30</v>
      </c>
      <c r="S10" s="68">
        <v>46084</v>
      </c>
      <c r="T10" s="113">
        <v>46115</v>
      </c>
      <c r="U10" s="114"/>
      <c r="V10" s="115" t="s">
        <v>31</v>
      </c>
      <c r="W10" s="51"/>
      <c r="X10" t="s">
        <v>32</v>
      </c>
    </row>
    <row r="11" spans="1:24" ht="14.4" x14ac:dyDescent="0.3">
      <c r="A11" s="13">
        <v>76.34</v>
      </c>
      <c r="B11" s="14"/>
      <c r="C11" s="14"/>
      <c r="D11" s="14" t="s">
        <v>21</v>
      </c>
      <c r="E11" s="14" t="s">
        <v>22</v>
      </c>
      <c r="F11" s="14">
        <v>201</v>
      </c>
      <c r="G11" s="14" t="s">
        <v>23</v>
      </c>
      <c r="H11" s="14">
        <v>2</v>
      </c>
      <c r="I11" s="14">
        <v>1</v>
      </c>
      <c r="J11" s="33"/>
      <c r="K11" s="15">
        <v>70232.800000000003</v>
      </c>
      <c r="L11" s="15">
        <v>500</v>
      </c>
      <c r="M11" s="15">
        <v>3011.6400000000003</v>
      </c>
      <c r="N11" s="11">
        <f t="shared" si="0"/>
        <v>10534.92</v>
      </c>
      <c r="O11" s="12">
        <f t="shared" si="1"/>
        <v>438.95499999999998</v>
      </c>
      <c r="P11" s="70">
        <f t="shared" si="2"/>
        <v>56186.240000000005</v>
      </c>
      <c r="Q11" s="49" t="s">
        <v>33</v>
      </c>
      <c r="R11" s="116"/>
      <c r="S11" s="117"/>
      <c r="T11" s="114"/>
      <c r="U11" s="114"/>
      <c r="V11" s="118"/>
      <c r="W11" s="76"/>
      <c r="X11" t="s">
        <v>34</v>
      </c>
    </row>
    <row r="12" spans="1:24" ht="14.4" x14ac:dyDescent="0.3">
      <c r="A12" s="13">
        <v>76.34</v>
      </c>
      <c r="B12" s="14"/>
      <c r="C12" s="14"/>
      <c r="D12" s="14" t="s">
        <v>21</v>
      </c>
      <c r="E12" s="14" t="s">
        <v>22</v>
      </c>
      <c r="F12" s="14">
        <v>202</v>
      </c>
      <c r="G12" s="14" t="s">
        <v>23</v>
      </c>
      <c r="H12" s="14">
        <v>2</v>
      </c>
      <c r="I12" s="14">
        <v>1</v>
      </c>
      <c r="J12" s="31" t="s">
        <v>35</v>
      </c>
      <c r="K12" s="15">
        <v>70232.800000000003</v>
      </c>
      <c r="L12" s="15">
        <v>500</v>
      </c>
      <c r="M12" s="15">
        <v>3011.6400000000003</v>
      </c>
      <c r="N12" s="11">
        <f t="shared" si="0"/>
        <v>10534.92</v>
      </c>
      <c r="O12" s="12">
        <f t="shared" si="1"/>
        <v>438.95499999999998</v>
      </c>
      <c r="P12" s="70">
        <f t="shared" si="2"/>
        <v>56186.240000000005</v>
      </c>
      <c r="Q12" s="20" t="s">
        <v>25</v>
      </c>
      <c r="R12" s="67" t="s">
        <v>26</v>
      </c>
      <c r="S12" s="68">
        <v>46100</v>
      </c>
      <c r="T12" s="119">
        <v>46131</v>
      </c>
      <c r="U12" s="114"/>
      <c r="V12" s="120" t="s">
        <v>36</v>
      </c>
      <c r="W12" s="77"/>
      <c r="X12" t="s">
        <v>37</v>
      </c>
    </row>
    <row r="13" spans="1:24" ht="14.4" x14ac:dyDescent="0.3">
      <c r="A13" s="13">
        <v>76.34</v>
      </c>
      <c r="B13" s="14"/>
      <c r="C13" s="14"/>
      <c r="D13" s="14" t="s">
        <v>21</v>
      </c>
      <c r="E13" s="14" t="s">
        <v>22</v>
      </c>
      <c r="F13" s="14">
        <v>301</v>
      </c>
      <c r="G13" s="14" t="s">
        <v>23</v>
      </c>
      <c r="H13" s="14">
        <v>3</v>
      </c>
      <c r="I13" s="14">
        <v>1</v>
      </c>
      <c r="J13" s="31" t="s">
        <v>38</v>
      </c>
      <c r="K13" s="15">
        <v>66415.8</v>
      </c>
      <c r="L13" s="15">
        <v>500</v>
      </c>
      <c r="M13" s="15">
        <v>2820.7900000000004</v>
      </c>
      <c r="N13" s="11">
        <f t="shared" si="0"/>
        <v>9962.3700000000008</v>
      </c>
      <c r="O13" s="12">
        <f t="shared" si="1"/>
        <v>415.09875000000005</v>
      </c>
      <c r="P13" s="70">
        <f t="shared" si="2"/>
        <v>53132.639999999999</v>
      </c>
      <c r="Q13" s="20" t="s">
        <v>25</v>
      </c>
      <c r="R13" s="67" t="s">
        <v>39</v>
      </c>
      <c r="S13" s="68">
        <v>46109</v>
      </c>
      <c r="T13" s="119">
        <v>46140</v>
      </c>
      <c r="U13" s="114"/>
      <c r="V13" s="120" t="s">
        <v>40</v>
      </c>
    </row>
    <row r="14" spans="1:24" ht="15.75" customHeight="1" x14ac:dyDescent="0.3">
      <c r="A14" s="13">
        <v>76.34</v>
      </c>
      <c r="B14" s="14"/>
      <c r="C14" s="14"/>
      <c r="D14" s="14" t="s">
        <v>21</v>
      </c>
      <c r="E14" s="14" t="s">
        <v>22</v>
      </c>
      <c r="F14" s="14">
        <v>302</v>
      </c>
      <c r="G14" s="14" t="s">
        <v>23</v>
      </c>
      <c r="H14" s="14">
        <v>3</v>
      </c>
      <c r="I14" s="14">
        <v>1</v>
      </c>
      <c r="J14" s="27" t="s">
        <v>41</v>
      </c>
      <c r="K14" s="15">
        <v>66415.8</v>
      </c>
      <c r="L14" s="15">
        <v>500</v>
      </c>
      <c r="M14" s="15">
        <v>2820.7900000000004</v>
      </c>
      <c r="N14" s="11">
        <f t="shared" si="0"/>
        <v>9962.3700000000008</v>
      </c>
      <c r="O14" s="12">
        <f t="shared" si="1"/>
        <v>415.09875000000005</v>
      </c>
      <c r="P14" s="70">
        <f t="shared" si="2"/>
        <v>53132.639999999999</v>
      </c>
      <c r="Q14" s="20" t="s">
        <v>25</v>
      </c>
      <c r="R14" s="67" t="s">
        <v>39</v>
      </c>
      <c r="S14" s="68">
        <v>46097</v>
      </c>
      <c r="T14" s="113">
        <v>46128</v>
      </c>
      <c r="U14" s="114"/>
      <c r="V14" s="61" t="s">
        <v>27</v>
      </c>
    </row>
    <row r="15" spans="1:24" ht="14.4" x14ac:dyDescent="0.3">
      <c r="A15" s="13">
        <v>76.34</v>
      </c>
      <c r="B15" s="14">
        <v>37.479999999999997</v>
      </c>
      <c r="C15" s="14"/>
      <c r="D15" s="14" t="s">
        <v>21</v>
      </c>
      <c r="E15" s="14" t="s">
        <v>22</v>
      </c>
      <c r="F15" s="14">
        <v>401</v>
      </c>
      <c r="G15" s="14" t="s">
        <v>23</v>
      </c>
      <c r="H15" s="14">
        <v>4</v>
      </c>
      <c r="I15" s="14">
        <v>1</v>
      </c>
      <c r="J15" s="27" t="s">
        <v>42</v>
      </c>
      <c r="K15" s="15">
        <v>75958.3</v>
      </c>
      <c r="L15" s="15">
        <v>500</v>
      </c>
      <c r="M15" s="15">
        <v>3297.9150000000004</v>
      </c>
      <c r="N15" s="11">
        <f t="shared" si="0"/>
        <v>11393.745000000001</v>
      </c>
      <c r="O15" s="12">
        <f t="shared" si="1"/>
        <v>474.73937500000005</v>
      </c>
      <c r="P15" s="70">
        <f t="shared" si="2"/>
        <v>60766.64</v>
      </c>
      <c r="Q15" s="21" t="s">
        <v>25</v>
      </c>
      <c r="R15" s="67" t="s">
        <v>26</v>
      </c>
      <c r="S15" s="68">
        <v>46076</v>
      </c>
      <c r="T15" s="121">
        <v>46104</v>
      </c>
      <c r="U15" s="122"/>
      <c r="V15" s="61" t="s">
        <v>27</v>
      </c>
    </row>
    <row r="16" spans="1:24" ht="14.4" x14ac:dyDescent="0.3">
      <c r="A16" s="16">
        <v>76.34</v>
      </c>
      <c r="B16" s="17">
        <v>37.479999999999997</v>
      </c>
      <c r="C16" s="17"/>
      <c r="D16" s="17" t="s">
        <v>21</v>
      </c>
      <c r="E16" s="17" t="s">
        <v>22</v>
      </c>
      <c r="F16" s="17">
        <v>402</v>
      </c>
      <c r="G16" s="17" t="s">
        <v>23</v>
      </c>
      <c r="H16" s="17">
        <v>4</v>
      </c>
      <c r="I16" s="17">
        <v>1</v>
      </c>
      <c r="J16" s="98" t="s">
        <v>43</v>
      </c>
      <c r="K16" s="18">
        <v>75958.3</v>
      </c>
      <c r="L16" s="18">
        <v>500</v>
      </c>
      <c r="M16" s="18">
        <v>3297.9150000000004</v>
      </c>
      <c r="N16" s="11">
        <f t="shared" si="0"/>
        <v>11393.745000000001</v>
      </c>
      <c r="O16" s="12">
        <f t="shared" si="1"/>
        <v>474.73937500000005</v>
      </c>
      <c r="P16" s="70">
        <f t="shared" si="2"/>
        <v>60766.64</v>
      </c>
      <c r="Q16" s="21" t="s">
        <v>44</v>
      </c>
      <c r="R16" s="67" t="s">
        <v>45</v>
      </c>
      <c r="S16" s="68">
        <v>46076</v>
      </c>
      <c r="T16" s="123">
        <v>46104</v>
      </c>
      <c r="U16" s="114"/>
      <c r="V16" s="120" t="s">
        <v>46</v>
      </c>
    </row>
    <row r="17" spans="1:22" ht="14.4" x14ac:dyDescent="0.3">
      <c r="A17" s="8">
        <v>76.34</v>
      </c>
      <c r="B17" s="9"/>
      <c r="C17" s="9">
        <v>22.29</v>
      </c>
      <c r="D17" s="9" t="s">
        <v>21</v>
      </c>
      <c r="E17" s="9" t="s">
        <v>21</v>
      </c>
      <c r="F17" s="9">
        <v>101</v>
      </c>
      <c r="G17" s="9" t="s">
        <v>23</v>
      </c>
      <c r="H17" s="9">
        <v>1</v>
      </c>
      <c r="I17" s="9">
        <v>1</v>
      </c>
      <c r="J17" s="29" t="s">
        <v>47</v>
      </c>
      <c r="K17" s="10">
        <v>75958.3</v>
      </c>
      <c r="L17" s="10">
        <v>500</v>
      </c>
      <c r="M17" s="10">
        <v>3297.9150000000004</v>
      </c>
      <c r="N17" s="11">
        <f t="shared" si="0"/>
        <v>11393.745000000001</v>
      </c>
      <c r="O17" s="12">
        <f t="shared" si="1"/>
        <v>474.73937500000005</v>
      </c>
      <c r="P17" s="70">
        <f t="shared" si="2"/>
        <v>60766.64</v>
      </c>
      <c r="Q17" s="19" t="s">
        <v>25</v>
      </c>
      <c r="R17" s="124" t="s">
        <v>48</v>
      </c>
      <c r="S17" s="125">
        <v>46069</v>
      </c>
      <c r="T17" s="126">
        <v>46097</v>
      </c>
      <c r="U17" s="127"/>
      <c r="V17" s="61" t="s">
        <v>27</v>
      </c>
    </row>
    <row r="18" spans="1:22" ht="14.4" x14ac:dyDescent="0.3">
      <c r="A18" s="13">
        <v>76.34</v>
      </c>
      <c r="B18" s="14"/>
      <c r="C18" s="14">
        <v>22.29</v>
      </c>
      <c r="D18" s="14" t="s">
        <v>21</v>
      </c>
      <c r="E18" s="14" t="s">
        <v>21</v>
      </c>
      <c r="F18" s="14">
        <v>102</v>
      </c>
      <c r="G18" s="14" t="s">
        <v>23</v>
      </c>
      <c r="H18" s="14">
        <v>1</v>
      </c>
      <c r="I18" s="14">
        <v>1</v>
      </c>
      <c r="J18" s="27" t="s">
        <v>49</v>
      </c>
      <c r="K18" s="15">
        <v>75958.3</v>
      </c>
      <c r="L18" s="15">
        <v>500</v>
      </c>
      <c r="M18" s="15">
        <v>3297.9150000000004</v>
      </c>
      <c r="N18" s="11">
        <f t="shared" si="0"/>
        <v>11393.745000000001</v>
      </c>
      <c r="O18" s="12">
        <f t="shared" si="1"/>
        <v>474.73937500000005</v>
      </c>
      <c r="P18" s="70">
        <f t="shared" si="2"/>
        <v>60766.64</v>
      </c>
      <c r="Q18" s="19" t="s">
        <v>25</v>
      </c>
      <c r="R18" s="67" t="s">
        <v>50</v>
      </c>
      <c r="S18" s="68">
        <v>46074</v>
      </c>
      <c r="T18" s="113">
        <v>46102</v>
      </c>
      <c r="U18" s="114"/>
      <c r="V18" s="61" t="s">
        <v>27</v>
      </c>
    </row>
    <row r="19" spans="1:22" ht="14.4" x14ac:dyDescent="0.3">
      <c r="A19" s="13">
        <v>76.34</v>
      </c>
      <c r="B19" s="14"/>
      <c r="C19" s="14"/>
      <c r="D19" s="14" t="s">
        <v>21</v>
      </c>
      <c r="E19" s="14" t="s">
        <v>21</v>
      </c>
      <c r="F19" s="14">
        <v>201</v>
      </c>
      <c r="G19" s="14" t="s">
        <v>23</v>
      </c>
      <c r="H19" s="14">
        <v>2</v>
      </c>
      <c r="I19" s="14">
        <v>1</v>
      </c>
      <c r="J19" s="28"/>
      <c r="K19" s="15">
        <v>70232.800000000003</v>
      </c>
      <c r="L19" s="15">
        <v>500</v>
      </c>
      <c r="M19" s="15">
        <v>3011.6400000000003</v>
      </c>
      <c r="N19" s="11">
        <f t="shared" si="0"/>
        <v>10534.92</v>
      </c>
      <c r="O19" s="12">
        <f t="shared" si="1"/>
        <v>438.95499999999998</v>
      </c>
      <c r="P19" s="70">
        <f t="shared" si="2"/>
        <v>56186.240000000005</v>
      </c>
      <c r="Q19" s="20" t="s">
        <v>33</v>
      </c>
      <c r="R19" s="116"/>
      <c r="S19" s="68"/>
      <c r="T19" s="128"/>
      <c r="U19" s="114"/>
      <c r="V19" s="67"/>
    </row>
    <row r="20" spans="1:22" ht="14.4" x14ac:dyDescent="0.3">
      <c r="A20" s="13">
        <v>76.34</v>
      </c>
      <c r="B20" s="14"/>
      <c r="C20" s="14"/>
      <c r="D20" s="14" t="s">
        <v>21</v>
      </c>
      <c r="E20" s="14" t="s">
        <v>21</v>
      </c>
      <c r="F20" s="14">
        <v>202</v>
      </c>
      <c r="G20" s="14" t="s">
        <v>23</v>
      </c>
      <c r="H20" s="14">
        <v>2</v>
      </c>
      <c r="I20" s="14">
        <v>1</v>
      </c>
      <c r="J20" s="27" t="s">
        <v>51</v>
      </c>
      <c r="K20" s="15">
        <v>70232.800000000003</v>
      </c>
      <c r="L20" s="15">
        <v>500</v>
      </c>
      <c r="M20" s="15">
        <v>3011.6400000000003</v>
      </c>
      <c r="N20" s="11">
        <f t="shared" si="0"/>
        <v>10534.92</v>
      </c>
      <c r="O20" s="12">
        <f t="shared" si="1"/>
        <v>438.95499999999998</v>
      </c>
      <c r="P20" s="70">
        <f t="shared" si="2"/>
        <v>56186.240000000005</v>
      </c>
      <c r="Q20" s="20" t="s">
        <v>25</v>
      </c>
      <c r="R20" s="67" t="s">
        <v>26</v>
      </c>
      <c r="S20" s="68">
        <v>46105</v>
      </c>
      <c r="T20" s="119">
        <v>46136</v>
      </c>
      <c r="U20" s="114"/>
      <c r="V20" s="120" t="s">
        <v>52</v>
      </c>
    </row>
    <row r="21" spans="1:22" ht="14.4" x14ac:dyDescent="0.3">
      <c r="A21" s="13">
        <v>76.34</v>
      </c>
      <c r="B21" s="14"/>
      <c r="C21" s="14"/>
      <c r="D21" s="14" t="s">
        <v>21</v>
      </c>
      <c r="E21" s="14" t="s">
        <v>21</v>
      </c>
      <c r="F21" s="14">
        <v>301</v>
      </c>
      <c r="G21" s="14" t="s">
        <v>23</v>
      </c>
      <c r="H21" s="14">
        <v>3</v>
      </c>
      <c r="I21" s="14">
        <v>1</v>
      </c>
      <c r="J21" s="27" t="s">
        <v>53</v>
      </c>
      <c r="K21" s="15">
        <v>66415.8</v>
      </c>
      <c r="L21" s="15">
        <v>500</v>
      </c>
      <c r="M21" s="15">
        <v>2820.7900000000004</v>
      </c>
      <c r="N21" s="11">
        <f t="shared" si="0"/>
        <v>9962.3700000000008</v>
      </c>
      <c r="O21" s="12">
        <f t="shared" si="1"/>
        <v>415.09875000000005</v>
      </c>
      <c r="P21" s="70">
        <f t="shared" si="2"/>
        <v>53132.639999999999</v>
      </c>
      <c r="Q21" s="20" t="s">
        <v>25</v>
      </c>
      <c r="R21" s="67" t="s">
        <v>26</v>
      </c>
      <c r="S21" s="68">
        <v>46072</v>
      </c>
      <c r="T21" s="113">
        <v>46100</v>
      </c>
      <c r="U21" s="114"/>
      <c r="V21" s="115" t="s">
        <v>31</v>
      </c>
    </row>
    <row r="22" spans="1:22" ht="14.4" x14ac:dyDescent="0.3">
      <c r="A22" s="13">
        <v>76.34</v>
      </c>
      <c r="B22" s="14"/>
      <c r="C22" s="14"/>
      <c r="D22" s="14" t="s">
        <v>21</v>
      </c>
      <c r="E22" s="14" t="s">
        <v>21</v>
      </c>
      <c r="F22" s="14">
        <v>302</v>
      </c>
      <c r="G22" s="14" t="s">
        <v>23</v>
      </c>
      <c r="H22" s="14">
        <v>3</v>
      </c>
      <c r="I22" s="14">
        <v>1</v>
      </c>
      <c r="J22" s="27" t="s">
        <v>54</v>
      </c>
      <c r="K22" s="15">
        <v>66415.8</v>
      </c>
      <c r="L22" s="15">
        <v>500</v>
      </c>
      <c r="M22" s="15">
        <v>2820.7900000000004</v>
      </c>
      <c r="N22" s="11">
        <f t="shared" si="0"/>
        <v>9962.3700000000008</v>
      </c>
      <c r="O22" s="12">
        <f t="shared" si="1"/>
        <v>415.09875000000005</v>
      </c>
      <c r="P22" s="70">
        <f t="shared" si="2"/>
        <v>53132.639999999999</v>
      </c>
      <c r="Q22" s="20" t="s">
        <v>25</v>
      </c>
      <c r="R22" s="67" t="s">
        <v>55</v>
      </c>
      <c r="S22" s="68">
        <v>46076</v>
      </c>
      <c r="T22" s="113">
        <v>46104</v>
      </c>
      <c r="U22" s="114"/>
      <c r="V22" s="115" t="s">
        <v>31</v>
      </c>
    </row>
    <row r="23" spans="1:22" ht="18" customHeight="1" x14ac:dyDescent="0.3">
      <c r="A23" s="13">
        <v>76.34</v>
      </c>
      <c r="B23" s="14">
        <v>37.479999999999997</v>
      </c>
      <c r="C23" s="14"/>
      <c r="D23" s="14" t="s">
        <v>21</v>
      </c>
      <c r="E23" s="14" t="s">
        <v>21</v>
      </c>
      <c r="F23" s="14">
        <v>401</v>
      </c>
      <c r="G23" s="14" t="s">
        <v>23</v>
      </c>
      <c r="H23" s="14">
        <v>4</v>
      </c>
      <c r="I23" s="14">
        <v>1</v>
      </c>
      <c r="J23" s="27" t="s">
        <v>56</v>
      </c>
      <c r="K23" s="15">
        <v>75958.3</v>
      </c>
      <c r="L23" s="15">
        <v>500</v>
      </c>
      <c r="M23" s="15">
        <v>3297.9150000000004</v>
      </c>
      <c r="N23" s="11">
        <f t="shared" si="0"/>
        <v>11393.745000000001</v>
      </c>
      <c r="O23" s="12">
        <f t="shared" si="1"/>
        <v>474.73937500000005</v>
      </c>
      <c r="P23" s="70">
        <f t="shared" si="2"/>
        <v>60766.64</v>
      </c>
      <c r="Q23" s="20" t="s">
        <v>25</v>
      </c>
      <c r="R23" s="67" t="s">
        <v>26</v>
      </c>
      <c r="S23" s="68">
        <v>46094</v>
      </c>
      <c r="T23" s="113">
        <v>46125</v>
      </c>
      <c r="U23" s="114"/>
      <c r="V23" s="115" t="s">
        <v>31</v>
      </c>
    </row>
    <row r="24" spans="1:22" ht="14.4" x14ac:dyDescent="0.3">
      <c r="A24" s="16">
        <v>76.34</v>
      </c>
      <c r="B24" s="17">
        <v>37.479999999999997</v>
      </c>
      <c r="C24" s="17"/>
      <c r="D24" s="17" t="s">
        <v>21</v>
      </c>
      <c r="E24" s="17" t="s">
        <v>21</v>
      </c>
      <c r="F24" s="17">
        <v>402</v>
      </c>
      <c r="G24" s="17" t="s">
        <v>23</v>
      </c>
      <c r="H24" s="17">
        <v>4</v>
      </c>
      <c r="I24" s="17">
        <v>1</v>
      </c>
      <c r="J24" s="30"/>
      <c r="K24" s="18">
        <v>75958.3</v>
      </c>
      <c r="L24" s="18">
        <v>500</v>
      </c>
      <c r="M24" s="18">
        <v>3297.9150000000004</v>
      </c>
      <c r="N24" s="11">
        <f t="shared" si="0"/>
        <v>11393.745000000001</v>
      </c>
      <c r="O24" s="12">
        <f t="shared" si="1"/>
        <v>474.73937500000005</v>
      </c>
      <c r="P24" s="70">
        <f t="shared" si="2"/>
        <v>60766.64</v>
      </c>
      <c r="Q24" s="21" t="s">
        <v>44</v>
      </c>
      <c r="R24" s="67" t="s">
        <v>48</v>
      </c>
      <c r="S24" s="68">
        <v>46130</v>
      </c>
      <c r="T24" s="128">
        <v>46132</v>
      </c>
      <c r="U24" s="114"/>
      <c r="V24" s="67" t="s">
        <v>57</v>
      </c>
    </row>
    <row r="25" spans="1:22" ht="14.4" x14ac:dyDescent="0.3">
      <c r="A25" s="8">
        <v>76.34</v>
      </c>
      <c r="B25" s="9"/>
      <c r="C25" s="9">
        <v>22.29</v>
      </c>
      <c r="D25" s="9" t="s">
        <v>21</v>
      </c>
      <c r="E25" s="9" t="s">
        <v>58</v>
      </c>
      <c r="F25" s="9">
        <v>101</v>
      </c>
      <c r="G25" s="9" t="s">
        <v>23</v>
      </c>
      <c r="H25" s="9">
        <v>1</v>
      </c>
      <c r="I25" s="9">
        <v>1</v>
      </c>
      <c r="J25" s="48" t="s">
        <v>59</v>
      </c>
      <c r="K25" s="10">
        <v>75958.3</v>
      </c>
      <c r="L25" s="10">
        <v>500</v>
      </c>
      <c r="M25" s="10">
        <v>3297.9150000000004</v>
      </c>
      <c r="N25" s="11">
        <f t="shared" si="0"/>
        <v>11393.745000000001</v>
      </c>
      <c r="O25" s="12">
        <f t="shared" si="1"/>
        <v>474.73937500000005</v>
      </c>
      <c r="P25" s="70">
        <f t="shared" si="2"/>
        <v>60766.64</v>
      </c>
      <c r="Q25" s="21" t="s">
        <v>25</v>
      </c>
      <c r="R25" s="67" t="s">
        <v>30</v>
      </c>
      <c r="S25" s="68">
        <v>46092</v>
      </c>
      <c r="T25" s="113">
        <v>46123</v>
      </c>
      <c r="U25" s="114"/>
      <c r="V25" s="115" t="s">
        <v>31</v>
      </c>
    </row>
    <row r="26" spans="1:22" ht="14.4" x14ac:dyDescent="0.3">
      <c r="A26" s="13">
        <v>76.34</v>
      </c>
      <c r="B26" s="14"/>
      <c r="C26" s="14">
        <v>22.29</v>
      </c>
      <c r="D26" s="14" t="s">
        <v>21</v>
      </c>
      <c r="E26" s="14" t="s">
        <v>58</v>
      </c>
      <c r="F26" s="14">
        <v>102</v>
      </c>
      <c r="G26" s="14" t="s">
        <v>23</v>
      </c>
      <c r="H26" s="14">
        <v>1</v>
      </c>
      <c r="I26" s="14">
        <v>1</v>
      </c>
      <c r="J26" s="33" t="s">
        <v>60</v>
      </c>
      <c r="K26" s="15">
        <v>75958.3</v>
      </c>
      <c r="L26" s="15">
        <v>500</v>
      </c>
      <c r="M26" s="15">
        <v>3297.9150000000004</v>
      </c>
      <c r="N26" s="11">
        <f t="shared" si="0"/>
        <v>11393.745000000001</v>
      </c>
      <c r="O26" s="12">
        <f t="shared" si="1"/>
        <v>474.73937500000005</v>
      </c>
      <c r="P26" s="70">
        <f t="shared" si="2"/>
        <v>60766.64</v>
      </c>
      <c r="Q26" s="21" t="s">
        <v>25</v>
      </c>
      <c r="R26" s="67" t="s">
        <v>61</v>
      </c>
      <c r="S26" s="68">
        <v>46091</v>
      </c>
      <c r="T26" s="113">
        <v>46122</v>
      </c>
      <c r="U26" s="114"/>
      <c r="V26" s="115" t="s">
        <v>31</v>
      </c>
    </row>
    <row r="27" spans="1:22" ht="14.4" x14ac:dyDescent="0.3">
      <c r="A27" s="13">
        <v>76.34</v>
      </c>
      <c r="B27" s="14"/>
      <c r="C27" s="14"/>
      <c r="D27" s="14" t="s">
        <v>21</v>
      </c>
      <c r="E27" s="14" t="s">
        <v>58</v>
      </c>
      <c r="F27" s="14">
        <v>201</v>
      </c>
      <c r="G27" s="14" t="s">
        <v>23</v>
      </c>
      <c r="H27" s="14">
        <v>2</v>
      </c>
      <c r="I27" s="14">
        <v>1</v>
      </c>
      <c r="J27" s="33" t="s">
        <v>62</v>
      </c>
      <c r="K27" s="15">
        <v>70232.800000000003</v>
      </c>
      <c r="L27" s="15">
        <v>500</v>
      </c>
      <c r="M27" s="15">
        <v>3011.6400000000003</v>
      </c>
      <c r="N27" s="11">
        <f t="shared" si="0"/>
        <v>10534.92</v>
      </c>
      <c r="O27" s="12">
        <f t="shared" si="1"/>
        <v>438.95499999999998</v>
      </c>
      <c r="P27" s="70">
        <f t="shared" si="2"/>
        <v>56186.240000000005</v>
      </c>
      <c r="Q27" s="20" t="s">
        <v>25</v>
      </c>
      <c r="R27" s="67" t="s">
        <v>55</v>
      </c>
      <c r="S27" s="68">
        <v>46086</v>
      </c>
      <c r="T27" s="113">
        <v>46117</v>
      </c>
      <c r="U27" s="114"/>
      <c r="V27" s="115" t="s">
        <v>31</v>
      </c>
    </row>
    <row r="28" spans="1:22" ht="14.4" x14ac:dyDescent="0.3">
      <c r="A28" s="13">
        <v>76.34</v>
      </c>
      <c r="B28" s="14"/>
      <c r="C28" s="14"/>
      <c r="D28" s="14" t="s">
        <v>21</v>
      </c>
      <c r="E28" s="14" t="s">
        <v>58</v>
      </c>
      <c r="F28" s="14">
        <v>202</v>
      </c>
      <c r="G28" s="14" t="s">
        <v>23</v>
      </c>
      <c r="H28" s="14">
        <v>2</v>
      </c>
      <c r="I28" s="14">
        <v>1</v>
      </c>
      <c r="J28" s="33" t="s">
        <v>63</v>
      </c>
      <c r="K28" s="15">
        <v>70232.800000000003</v>
      </c>
      <c r="L28" s="15">
        <v>500</v>
      </c>
      <c r="M28" s="15">
        <v>3011.6400000000003</v>
      </c>
      <c r="N28" s="11">
        <f t="shared" si="0"/>
        <v>10534.92</v>
      </c>
      <c r="O28" s="12">
        <f t="shared" si="1"/>
        <v>438.95499999999998</v>
      </c>
      <c r="P28" s="70">
        <f t="shared" si="2"/>
        <v>56186.240000000005</v>
      </c>
      <c r="Q28" s="20" t="s">
        <v>25</v>
      </c>
      <c r="R28" s="67" t="s">
        <v>30</v>
      </c>
      <c r="S28" s="68">
        <v>46104</v>
      </c>
      <c r="T28" s="113">
        <v>46135</v>
      </c>
      <c r="U28" s="114"/>
      <c r="V28" s="129" t="s">
        <v>27</v>
      </c>
    </row>
    <row r="29" spans="1:22" ht="14.4" x14ac:dyDescent="0.3">
      <c r="A29" s="13">
        <v>76.34</v>
      </c>
      <c r="B29" s="14"/>
      <c r="C29" s="14"/>
      <c r="D29" s="14" t="s">
        <v>21</v>
      </c>
      <c r="E29" s="14" t="s">
        <v>58</v>
      </c>
      <c r="F29" s="14">
        <v>301</v>
      </c>
      <c r="G29" s="14" t="s">
        <v>23</v>
      </c>
      <c r="H29" s="14">
        <v>3</v>
      </c>
      <c r="I29" s="14">
        <v>1</v>
      </c>
      <c r="J29" s="31" t="s">
        <v>64</v>
      </c>
      <c r="K29" s="15">
        <v>66415.8</v>
      </c>
      <c r="L29" s="15">
        <v>500</v>
      </c>
      <c r="M29" s="15">
        <v>2820.7900000000004</v>
      </c>
      <c r="N29" s="11">
        <f t="shared" si="0"/>
        <v>9962.3700000000008</v>
      </c>
      <c r="O29" s="12">
        <f t="shared" si="1"/>
        <v>415.09875000000005</v>
      </c>
      <c r="P29" s="70">
        <f t="shared" si="2"/>
        <v>53132.639999999999</v>
      </c>
      <c r="Q29" s="20" t="s">
        <v>25</v>
      </c>
      <c r="R29" s="67" t="s">
        <v>30</v>
      </c>
      <c r="S29" s="68">
        <v>46113</v>
      </c>
      <c r="T29" s="128">
        <v>46143</v>
      </c>
      <c r="U29" s="114"/>
      <c r="V29" s="120" t="s">
        <v>65</v>
      </c>
    </row>
    <row r="30" spans="1:22" ht="14.4" x14ac:dyDescent="0.3">
      <c r="A30" s="13">
        <v>76.34</v>
      </c>
      <c r="B30" s="14"/>
      <c r="C30" s="14"/>
      <c r="D30" s="14" t="s">
        <v>21</v>
      </c>
      <c r="E30" s="14" t="s">
        <v>58</v>
      </c>
      <c r="F30" s="14">
        <v>302</v>
      </c>
      <c r="G30" s="14" t="s">
        <v>23</v>
      </c>
      <c r="H30" s="14">
        <v>3</v>
      </c>
      <c r="I30" s="14">
        <v>1</v>
      </c>
      <c r="J30" s="31" t="s">
        <v>66</v>
      </c>
      <c r="K30" s="15">
        <v>66415.8</v>
      </c>
      <c r="L30" s="15">
        <v>500</v>
      </c>
      <c r="M30" s="15">
        <v>2820.7900000000004</v>
      </c>
      <c r="N30" s="11">
        <f t="shared" si="0"/>
        <v>9962.3700000000008</v>
      </c>
      <c r="O30" s="12">
        <f t="shared" si="1"/>
        <v>415.09875000000005</v>
      </c>
      <c r="P30" s="70">
        <f t="shared" si="2"/>
        <v>53132.639999999999</v>
      </c>
      <c r="Q30" s="20" t="s">
        <v>25</v>
      </c>
      <c r="R30" s="67" t="s">
        <v>26</v>
      </c>
      <c r="S30" s="68">
        <v>46122</v>
      </c>
      <c r="T30" s="128">
        <v>46152</v>
      </c>
      <c r="U30" s="114"/>
      <c r="V30" s="120" t="s">
        <v>67</v>
      </c>
    </row>
    <row r="31" spans="1:22" ht="14.4" x14ac:dyDescent="0.3">
      <c r="A31" s="13">
        <v>76.34</v>
      </c>
      <c r="B31" s="14">
        <v>37.479999999999997</v>
      </c>
      <c r="C31" s="14"/>
      <c r="D31" s="14" t="s">
        <v>21</v>
      </c>
      <c r="E31" s="14" t="s">
        <v>58</v>
      </c>
      <c r="F31" s="14">
        <v>401</v>
      </c>
      <c r="G31" s="14" t="s">
        <v>23</v>
      </c>
      <c r="H31" s="14">
        <v>4</v>
      </c>
      <c r="I31" s="14">
        <v>1</v>
      </c>
      <c r="J31" s="31" t="s">
        <v>68</v>
      </c>
      <c r="K31" s="15">
        <v>75958.3</v>
      </c>
      <c r="L31" s="15">
        <v>500</v>
      </c>
      <c r="M31" s="15">
        <v>3297.9150000000004</v>
      </c>
      <c r="N31" s="11">
        <f t="shared" si="0"/>
        <v>11393.745000000001</v>
      </c>
      <c r="O31" s="12">
        <f t="shared" si="1"/>
        <v>474.73937500000005</v>
      </c>
      <c r="P31" s="70">
        <f t="shared" si="2"/>
        <v>60766.64</v>
      </c>
      <c r="Q31" s="21" t="s">
        <v>25</v>
      </c>
      <c r="R31" s="67" t="s">
        <v>30</v>
      </c>
      <c r="S31" s="68">
        <v>46129</v>
      </c>
      <c r="T31" s="128">
        <v>46159</v>
      </c>
      <c r="U31" s="114"/>
      <c r="V31" s="120" t="s">
        <v>69</v>
      </c>
    </row>
    <row r="32" spans="1:22" ht="16.5" customHeight="1" x14ac:dyDescent="0.3">
      <c r="A32" s="16">
        <v>76.34</v>
      </c>
      <c r="B32" s="17">
        <v>37.479999999999997</v>
      </c>
      <c r="C32" s="17"/>
      <c r="D32" s="17" t="s">
        <v>21</v>
      </c>
      <c r="E32" s="17" t="s">
        <v>58</v>
      </c>
      <c r="F32" s="17">
        <v>402</v>
      </c>
      <c r="G32" s="17" t="s">
        <v>23</v>
      </c>
      <c r="H32" s="17">
        <v>4</v>
      </c>
      <c r="I32" s="17">
        <v>1</v>
      </c>
      <c r="J32" s="17"/>
      <c r="K32" s="18">
        <v>75958.3</v>
      </c>
      <c r="L32" s="18">
        <v>500</v>
      </c>
      <c r="M32" s="18">
        <v>3297.9150000000004</v>
      </c>
      <c r="N32" s="11">
        <f t="shared" si="0"/>
        <v>11393.745000000001</v>
      </c>
      <c r="O32" s="12">
        <f t="shared" si="1"/>
        <v>474.73937500000005</v>
      </c>
      <c r="P32" s="70">
        <f t="shared" si="2"/>
        <v>60766.64</v>
      </c>
      <c r="Q32" s="21" t="s">
        <v>44</v>
      </c>
      <c r="R32" s="67" t="s">
        <v>26</v>
      </c>
      <c r="S32" s="68">
        <v>46132</v>
      </c>
      <c r="T32" s="128">
        <v>46134</v>
      </c>
      <c r="U32" s="114"/>
      <c r="V32" s="67" t="s">
        <v>57</v>
      </c>
    </row>
    <row r="33" spans="1:22" ht="16.5" customHeight="1" x14ac:dyDescent="0.3">
      <c r="A33" s="52">
        <v>76.34</v>
      </c>
      <c r="B33" s="53"/>
      <c r="C33" s="53">
        <v>22.29</v>
      </c>
      <c r="D33" s="53" t="s">
        <v>21</v>
      </c>
      <c r="E33" s="53" t="s">
        <v>23</v>
      </c>
      <c r="F33" s="53">
        <v>101</v>
      </c>
      <c r="G33" s="53" t="s">
        <v>23</v>
      </c>
      <c r="H33" s="53">
        <v>1</v>
      </c>
      <c r="I33" s="53">
        <v>1</v>
      </c>
      <c r="J33" s="33" t="s">
        <v>70</v>
      </c>
      <c r="K33" s="54">
        <v>75958.3</v>
      </c>
      <c r="L33" s="54">
        <v>500</v>
      </c>
      <c r="M33" s="54">
        <v>3297.9150000000004</v>
      </c>
      <c r="N33" s="55">
        <f t="shared" ref="N33:N40" si="3">+K33*15%</f>
        <v>11393.745000000001</v>
      </c>
      <c r="O33" s="54">
        <f t="shared" ref="O33:O40" si="4">+N33/24</f>
        <v>474.73937500000005</v>
      </c>
      <c r="P33" s="71">
        <f t="shared" ref="P33:P40" si="5">+K33-L33-M33-N33</f>
        <v>60766.640000000007</v>
      </c>
      <c r="Q33" s="108" t="s">
        <v>25</v>
      </c>
      <c r="R33" s="67" t="s">
        <v>61</v>
      </c>
      <c r="S33" s="68">
        <v>46104</v>
      </c>
      <c r="T33" s="119">
        <v>46135</v>
      </c>
      <c r="U33" s="114"/>
      <c r="V33" s="120" t="s">
        <v>71</v>
      </c>
    </row>
    <row r="34" spans="1:22" ht="16.5" customHeight="1" x14ac:dyDescent="0.3">
      <c r="A34" s="56">
        <v>76.34</v>
      </c>
      <c r="B34" s="57"/>
      <c r="C34" s="57">
        <v>22.29</v>
      </c>
      <c r="D34" s="57" t="s">
        <v>21</v>
      </c>
      <c r="E34" s="57" t="s">
        <v>23</v>
      </c>
      <c r="F34" s="57">
        <v>102</v>
      </c>
      <c r="G34" s="57" t="s">
        <v>23</v>
      </c>
      <c r="H34" s="57">
        <v>1</v>
      </c>
      <c r="I34" s="57">
        <v>1</v>
      </c>
      <c r="J34" s="61" t="s">
        <v>72</v>
      </c>
      <c r="K34" s="59">
        <v>75958.3</v>
      </c>
      <c r="L34" s="59">
        <v>500</v>
      </c>
      <c r="M34" s="59">
        <v>3297.9150000000004</v>
      </c>
      <c r="N34" s="60">
        <f t="shared" si="3"/>
        <v>11393.745000000001</v>
      </c>
      <c r="O34" s="59">
        <f t="shared" si="4"/>
        <v>474.73937500000005</v>
      </c>
      <c r="P34" s="72">
        <f t="shared" si="5"/>
        <v>60766.640000000007</v>
      </c>
      <c r="Q34" s="108" t="s">
        <v>25</v>
      </c>
      <c r="R34" s="67" t="s">
        <v>73</v>
      </c>
      <c r="S34" s="68">
        <v>46111</v>
      </c>
      <c r="T34" s="119">
        <v>46142</v>
      </c>
      <c r="U34" s="114"/>
      <c r="V34" s="120" t="s">
        <v>71</v>
      </c>
    </row>
    <row r="35" spans="1:22" ht="16.5" customHeight="1" x14ac:dyDescent="0.3">
      <c r="A35" s="56">
        <v>76.34</v>
      </c>
      <c r="B35" s="57"/>
      <c r="C35" s="57"/>
      <c r="D35" s="57" t="s">
        <v>21</v>
      </c>
      <c r="E35" s="57" t="s">
        <v>23</v>
      </c>
      <c r="F35" s="57">
        <v>201</v>
      </c>
      <c r="G35" s="57" t="s">
        <v>23</v>
      </c>
      <c r="H35" s="57">
        <v>2</v>
      </c>
      <c r="I35" s="57">
        <v>1</v>
      </c>
      <c r="J35" s="61" t="s">
        <v>74</v>
      </c>
      <c r="K35" s="59">
        <v>70232.800000000003</v>
      </c>
      <c r="L35" s="59">
        <v>500</v>
      </c>
      <c r="M35" s="59">
        <v>3011.6400000000003</v>
      </c>
      <c r="N35" s="60">
        <f t="shared" si="3"/>
        <v>10534.92</v>
      </c>
      <c r="O35" s="59">
        <f t="shared" si="4"/>
        <v>438.95499999999998</v>
      </c>
      <c r="P35" s="72">
        <f t="shared" si="5"/>
        <v>56186.240000000005</v>
      </c>
      <c r="Q35" s="108" t="s">
        <v>25</v>
      </c>
      <c r="R35" s="67" t="s">
        <v>26</v>
      </c>
      <c r="S35" s="68">
        <v>46112</v>
      </c>
      <c r="T35" s="130">
        <v>46142</v>
      </c>
      <c r="U35" s="117"/>
      <c r="V35" s="115" t="s">
        <v>31</v>
      </c>
    </row>
    <row r="36" spans="1:22" ht="17.25" customHeight="1" x14ac:dyDescent="0.3">
      <c r="A36" s="56">
        <v>76.34</v>
      </c>
      <c r="B36" s="57"/>
      <c r="C36" s="57"/>
      <c r="D36" s="57" t="s">
        <v>21</v>
      </c>
      <c r="E36" s="57" t="s">
        <v>23</v>
      </c>
      <c r="F36" s="57">
        <v>202</v>
      </c>
      <c r="G36" s="57" t="s">
        <v>23</v>
      </c>
      <c r="H36" s="57">
        <v>2</v>
      </c>
      <c r="I36" s="57">
        <v>1</v>
      </c>
      <c r="J36" s="69" t="s">
        <v>75</v>
      </c>
      <c r="K36" s="59">
        <v>70232.800000000003</v>
      </c>
      <c r="L36" s="59">
        <v>500</v>
      </c>
      <c r="M36" s="59">
        <v>3011.6400000000003</v>
      </c>
      <c r="N36" s="60">
        <f t="shared" si="3"/>
        <v>10534.92</v>
      </c>
      <c r="O36" s="59">
        <f t="shared" si="4"/>
        <v>438.95499999999998</v>
      </c>
      <c r="P36" s="72">
        <f t="shared" si="5"/>
        <v>56186.240000000005</v>
      </c>
      <c r="Q36" s="108" t="s">
        <v>25</v>
      </c>
      <c r="R36" s="67" t="s">
        <v>26</v>
      </c>
      <c r="S36" s="68">
        <v>46104</v>
      </c>
      <c r="T36" s="119">
        <v>46135</v>
      </c>
      <c r="U36" s="114"/>
      <c r="V36" s="120" t="s">
        <v>76</v>
      </c>
    </row>
    <row r="37" spans="1:22" ht="16.5" customHeight="1" x14ac:dyDescent="0.3">
      <c r="A37" s="56">
        <v>76.34</v>
      </c>
      <c r="B37" s="57"/>
      <c r="C37" s="57"/>
      <c r="D37" s="57" t="s">
        <v>21</v>
      </c>
      <c r="E37" s="57" t="s">
        <v>23</v>
      </c>
      <c r="F37" s="57">
        <v>301</v>
      </c>
      <c r="G37" s="57" t="s">
        <v>23</v>
      </c>
      <c r="H37" s="57">
        <v>3</v>
      </c>
      <c r="I37" s="57">
        <v>1</v>
      </c>
      <c r="J37" s="96"/>
      <c r="K37" s="59">
        <v>66415.8</v>
      </c>
      <c r="L37" s="59">
        <v>500</v>
      </c>
      <c r="M37" s="59">
        <v>2820.7900000000004</v>
      </c>
      <c r="N37" s="60">
        <f t="shared" si="3"/>
        <v>9962.3700000000008</v>
      </c>
      <c r="O37" s="59">
        <f t="shared" si="4"/>
        <v>415.09875000000005</v>
      </c>
      <c r="P37" s="72">
        <f t="shared" si="5"/>
        <v>53132.639999999999</v>
      </c>
      <c r="Q37" s="108" t="s">
        <v>33</v>
      </c>
      <c r="R37" s="67"/>
      <c r="S37" s="68"/>
      <c r="T37" s="114"/>
      <c r="U37" s="114"/>
      <c r="V37" s="131"/>
    </row>
    <row r="38" spans="1:22" ht="16.5" customHeight="1" x14ac:dyDescent="0.3">
      <c r="A38" s="56">
        <v>76.34</v>
      </c>
      <c r="B38" s="57"/>
      <c r="C38" s="57"/>
      <c r="D38" s="57" t="s">
        <v>21</v>
      </c>
      <c r="E38" s="57" t="s">
        <v>23</v>
      </c>
      <c r="F38" s="57">
        <v>302</v>
      </c>
      <c r="G38" s="57" t="s">
        <v>23</v>
      </c>
      <c r="H38" s="57">
        <v>3</v>
      </c>
      <c r="I38" s="57">
        <v>1</v>
      </c>
      <c r="J38" s="61" t="s">
        <v>77</v>
      </c>
      <c r="K38" s="59">
        <v>66415.8</v>
      </c>
      <c r="L38" s="59">
        <v>500</v>
      </c>
      <c r="M38" s="59">
        <v>2820.7900000000004</v>
      </c>
      <c r="N38" s="60">
        <f t="shared" si="3"/>
        <v>9962.3700000000008</v>
      </c>
      <c r="O38" s="59">
        <f t="shared" si="4"/>
        <v>415.09875000000005</v>
      </c>
      <c r="P38" s="72">
        <f t="shared" si="5"/>
        <v>53132.639999999999</v>
      </c>
      <c r="Q38" s="108" t="s">
        <v>25</v>
      </c>
      <c r="R38" s="67" t="s">
        <v>78</v>
      </c>
      <c r="S38" s="68">
        <v>46097</v>
      </c>
      <c r="T38" s="113">
        <v>46128</v>
      </c>
      <c r="U38" s="114"/>
      <c r="V38" s="115" t="s">
        <v>31</v>
      </c>
    </row>
    <row r="39" spans="1:22" ht="16.5" customHeight="1" x14ac:dyDescent="0.3">
      <c r="A39" s="56">
        <v>76.34</v>
      </c>
      <c r="B39" s="57">
        <v>37.479999999999997</v>
      </c>
      <c r="C39" s="57"/>
      <c r="D39" s="57" t="s">
        <v>21</v>
      </c>
      <c r="E39" s="57" t="s">
        <v>23</v>
      </c>
      <c r="F39" s="57">
        <v>401</v>
      </c>
      <c r="G39" s="57" t="s">
        <v>23</v>
      </c>
      <c r="H39" s="57">
        <v>4</v>
      </c>
      <c r="I39" s="57">
        <v>1</v>
      </c>
      <c r="J39" s="61" t="s">
        <v>79</v>
      </c>
      <c r="K39" s="59">
        <v>75958.3</v>
      </c>
      <c r="L39" s="59">
        <v>500</v>
      </c>
      <c r="M39" s="59">
        <v>3297.9150000000004</v>
      </c>
      <c r="N39" s="60">
        <f t="shared" si="3"/>
        <v>11393.745000000001</v>
      </c>
      <c r="O39" s="59">
        <f t="shared" si="4"/>
        <v>474.73937500000005</v>
      </c>
      <c r="P39" s="72">
        <f t="shared" si="5"/>
        <v>60766.640000000007</v>
      </c>
      <c r="Q39" s="108" t="s">
        <v>25</v>
      </c>
      <c r="R39" s="67" t="s">
        <v>30</v>
      </c>
      <c r="S39" s="68">
        <v>46129</v>
      </c>
      <c r="T39" s="128">
        <v>46159</v>
      </c>
      <c r="U39" s="114"/>
      <c r="V39" s="120" t="s">
        <v>69</v>
      </c>
    </row>
    <row r="40" spans="1:22" ht="16.5" customHeight="1" x14ac:dyDescent="0.3">
      <c r="A40" s="62">
        <v>76.34</v>
      </c>
      <c r="B40" s="63">
        <v>37.479999999999997</v>
      </c>
      <c r="C40" s="63"/>
      <c r="D40" s="63" t="s">
        <v>21</v>
      </c>
      <c r="E40" s="63" t="s">
        <v>23</v>
      </c>
      <c r="F40" s="63">
        <v>402</v>
      </c>
      <c r="G40" s="63" t="s">
        <v>23</v>
      </c>
      <c r="H40" s="63">
        <v>4</v>
      </c>
      <c r="I40" s="63">
        <v>1</v>
      </c>
      <c r="J40" s="64"/>
      <c r="K40" s="65">
        <v>75958.3</v>
      </c>
      <c r="L40" s="65">
        <v>500</v>
      </c>
      <c r="M40" s="65">
        <v>3297.9150000000004</v>
      </c>
      <c r="N40" s="66">
        <f t="shared" si="3"/>
        <v>11393.745000000001</v>
      </c>
      <c r="O40" s="65">
        <f t="shared" si="4"/>
        <v>474.73937500000005</v>
      </c>
      <c r="P40" s="73">
        <f t="shared" si="5"/>
        <v>60766.640000000007</v>
      </c>
      <c r="Q40" s="108" t="s">
        <v>44</v>
      </c>
      <c r="R40" s="67" t="s">
        <v>26</v>
      </c>
      <c r="S40" s="68">
        <v>46132</v>
      </c>
      <c r="T40" s="128">
        <f>IF(S40="","",S40+2)</f>
        <v>46134</v>
      </c>
      <c r="U40" s="114"/>
      <c r="V40" s="67" t="s">
        <v>57</v>
      </c>
    </row>
    <row r="41" spans="1:22" ht="14.4" x14ac:dyDescent="0.3">
      <c r="A41" s="56">
        <v>76.34</v>
      </c>
      <c r="B41" s="53"/>
      <c r="C41" s="53">
        <v>22.29</v>
      </c>
      <c r="D41" s="53" t="s">
        <v>21</v>
      </c>
      <c r="E41" s="53" t="s">
        <v>80</v>
      </c>
      <c r="F41" s="53">
        <v>101</v>
      </c>
      <c r="G41" s="53" t="s">
        <v>23</v>
      </c>
      <c r="H41" s="53">
        <v>1</v>
      </c>
      <c r="I41" s="53">
        <v>1</v>
      </c>
      <c r="J41" s="69" t="s">
        <v>81</v>
      </c>
      <c r="K41" s="54">
        <v>75958.3</v>
      </c>
      <c r="L41" s="54">
        <v>500</v>
      </c>
      <c r="M41" s="54">
        <v>3297.9150000000004</v>
      </c>
      <c r="N41" s="55">
        <f t="shared" ref="N41:N56" si="6">+K41*15%</f>
        <v>11393.745000000001</v>
      </c>
      <c r="O41" s="54">
        <f t="shared" ref="O41:O56" si="7">+N41/24</f>
        <v>474.73937500000005</v>
      </c>
      <c r="P41" s="79">
        <f t="shared" ref="P41:P56" si="8">+K41-L41-M41-N41</f>
        <v>60766.640000000007</v>
      </c>
      <c r="Q41" s="108" t="s">
        <v>25</v>
      </c>
      <c r="R41" s="67" t="s">
        <v>26</v>
      </c>
      <c r="S41" s="68">
        <v>46101</v>
      </c>
      <c r="T41" s="132">
        <v>46132</v>
      </c>
      <c r="U41" s="117"/>
      <c r="V41" s="120" t="s">
        <v>82</v>
      </c>
    </row>
    <row r="42" spans="1:22" ht="14.4" x14ac:dyDescent="0.3">
      <c r="A42" s="56">
        <v>76.34</v>
      </c>
      <c r="B42" s="57"/>
      <c r="C42" s="57">
        <v>22.29</v>
      </c>
      <c r="D42" s="57" t="s">
        <v>21</v>
      </c>
      <c r="E42" s="57" t="s">
        <v>80</v>
      </c>
      <c r="F42" s="57">
        <v>102</v>
      </c>
      <c r="G42" s="57" t="s">
        <v>23</v>
      </c>
      <c r="H42" s="57">
        <v>1</v>
      </c>
      <c r="I42" s="57">
        <v>1</v>
      </c>
      <c r="J42" s="69" t="s">
        <v>83</v>
      </c>
      <c r="K42" s="59">
        <v>75958.3</v>
      </c>
      <c r="L42" s="59">
        <v>500</v>
      </c>
      <c r="M42" s="59">
        <v>3297.9150000000004</v>
      </c>
      <c r="N42" s="60">
        <f t="shared" si="6"/>
        <v>11393.745000000001</v>
      </c>
      <c r="O42" s="59">
        <f t="shared" si="7"/>
        <v>474.73937500000005</v>
      </c>
      <c r="P42" s="80">
        <f t="shared" si="8"/>
        <v>60766.640000000007</v>
      </c>
      <c r="Q42" s="108" t="s">
        <v>25</v>
      </c>
      <c r="R42" s="67" t="s">
        <v>26</v>
      </c>
      <c r="S42" s="68">
        <v>46101</v>
      </c>
      <c r="T42" s="132">
        <v>46132</v>
      </c>
      <c r="U42" s="117"/>
      <c r="V42" s="120" t="s">
        <v>82</v>
      </c>
    </row>
    <row r="43" spans="1:22" ht="14.4" x14ac:dyDescent="0.3">
      <c r="A43" s="56">
        <v>76.34</v>
      </c>
      <c r="B43" s="57"/>
      <c r="C43" s="57"/>
      <c r="D43" s="57" t="s">
        <v>21</v>
      </c>
      <c r="E43" s="57" t="s">
        <v>80</v>
      </c>
      <c r="F43" s="57">
        <v>201</v>
      </c>
      <c r="G43" s="57" t="s">
        <v>23</v>
      </c>
      <c r="H43" s="57">
        <v>2</v>
      </c>
      <c r="I43" s="57">
        <v>1</v>
      </c>
      <c r="J43" s="61" t="s">
        <v>84</v>
      </c>
      <c r="K43" s="59">
        <v>70232.800000000003</v>
      </c>
      <c r="L43" s="59">
        <v>500</v>
      </c>
      <c r="M43" s="59">
        <v>3011.6400000000003</v>
      </c>
      <c r="N43" s="60">
        <f t="shared" si="6"/>
        <v>10534.92</v>
      </c>
      <c r="O43" s="59">
        <f t="shared" si="7"/>
        <v>438.95499999999998</v>
      </c>
      <c r="P43" s="80">
        <f t="shared" si="8"/>
        <v>56186.240000000005</v>
      </c>
      <c r="Q43" s="108" t="s">
        <v>25</v>
      </c>
      <c r="R43" s="67" t="s">
        <v>30</v>
      </c>
      <c r="S43" s="68">
        <v>46132</v>
      </c>
      <c r="T43" s="68">
        <v>46162</v>
      </c>
      <c r="U43" s="117"/>
      <c r="V43" s="120" t="s">
        <v>85</v>
      </c>
    </row>
    <row r="44" spans="1:22" ht="14.4" x14ac:dyDescent="0.3">
      <c r="A44" s="56">
        <v>76.34</v>
      </c>
      <c r="B44" s="57"/>
      <c r="C44" s="57"/>
      <c r="D44" s="57" t="s">
        <v>21</v>
      </c>
      <c r="E44" s="57" t="s">
        <v>80</v>
      </c>
      <c r="F44" s="57">
        <v>202</v>
      </c>
      <c r="G44" s="57" t="s">
        <v>23</v>
      </c>
      <c r="H44" s="57">
        <v>2</v>
      </c>
      <c r="I44" s="57">
        <v>1</v>
      </c>
      <c r="J44" s="61" t="s">
        <v>86</v>
      </c>
      <c r="K44" s="59">
        <v>70232.800000000003</v>
      </c>
      <c r="L44" s="59">
        <v>500</v>
      </c>
      <c r="M44" s="59">
        <v>3011.6400000000003</v>
      </c>
      <c r="N44" s="60">
        <f t="shared" si="6"/>
        <v>10534.92</v>
      </c>
      <c r="O44" s="59">
        <f t="shared" si="7"/>
        <v>438.95499999999998</v>
      </c>
      <c r="P44" s="80">
        <f t="shared" si="8"/>
        <v>56186.240000000005</v>
      </c>
      <c r="Q44" s="108" t="s">
        <v>25</v>
      </c>
      <c r="R44" s="67" t="s">
        <v>30</v>
      </c>
      <c r="S44" s="68">
        <v>46132</v>
      </c>
      <c r="T44" s="68">
        <v>46162</v>
      </c>
      <c r="U44" s="117"/>
      <c r="V44" s="120" t="s">
        <v>85</v>
      </c>
    </row>
    <row r="45" spans="1:22" ht="14.4" x14ac:dyDescent="0.3">
      <c r="A45" s="56">
        <v>76.34</v>
      </c>
      <c r="B45" s="57"/>
      <c r="C45" s="57"/>
      <c r="D45" s="57" t="s">
        <v>21</v>
      </c>
      <c r="E45" s="57" t="s">
        <v>80</v>
      </c>
      <c r="F45" s="57">
        <v>301</v>
      </c>
      <c r="G45" s="57" t="s">
        <v>23</v>
      </c>
      <c r="H45" s="57">
        <v>3</v>
      </c>
      <c r="I45" s="57">
        <v>1</v>
      </c>
      <c r="J45" s="61" t="s">
        <v>87</v>
      </c>
      <c r="K45" s="59">
        <v>66415.8</v>
      </c>
      <c r="L45" s="59">
        <v>500</v>
      </c>
      <c r="M45" s="59">
        <v>2820.7900000000004</v>
      </c>
      <c r="N45" s="60">
        <f t="shared" si="6"/>
        <v>9962.3700000000008</v>
      </c>
      <c r="O45" s="59">
        <f t="shared" si="7"/>
        <v>415.09875000000005</v>
      </c>
      <c r="P45" s="80">
        <f t="shared" si="8"/>
        <v>53132.639999999999</v>
      </c>
      <c r="Q45" s="108" t="s">
        <v>25</v>
      </c>
      <c r="R45" s="67" t="s">
        <v>30</v>
      </c>
      <c r="S45" s="68">
        <v>46112</v>
      </c>
      <c r="T45" s="132">
        <v>46142</v>
      </c>
      <c r="U45" s="117"/>
      <c r="V45" s="120" t="s">
        <v>88</v>
      </c>
    </row>
    <row r="46" spans="1:22" ht="14.4" x14ac:dyDescent="0.3">
      <c r="A46" s="56">
        <v>76.34</v>
      </c>
      <c r="B46" s="57"/>
      <c r="C46" s="57"/>
      <c r="D46" s="57" t="s">
        <v>21</v>
      </c>
      <c r="E46" s="57" t="s">
        <v>80</v>
      </c>
      <c r="F46" s="57">
        <v>302</v>
      </c>
      <c r="G46" s="57" t="s">
        <v>23</v>
      </c>
      <c r="H46" s="57">
        <v>3</v>
      </c>
      <c r="I46" s="57">
        <v>1</v>
      </c>
      <c r="J46" s="61" t="s">
        <v>89</v>
      </c>
      <c r="K46" s="59">
        <v>66415.8</v>
      </c>
      <c r="L46" s="59">
        <v>500</v>
      </c>
      <c r="M46" s="59">
        <v>2820.7900000000004</v>
      </c>
      <c r="N46" s="60">
        <f t="shared" si="6"/>
        <v>9962.3700000000008</v>
      </c>
      <c r="O46" s="59">
        <f t="shared" si="7"/>
        <v>415.09875000000005</v>
      </c>
      <c r="P46" s="80">
        <f t="shared" si="8"/>
        <v>53132.639999999999</v>
      </c>
      <c r="Q46" s="108" t="s">
        <v>25</v>
      </c>
      <c r="R46" s="67" t="s">
        <v>90</v>
      </c>
      <c r="S46" s="68">
        <v>46114</v>
      </c>
      <c r="T46" s="130">
        <v>46144</v>
      </c>
      <c r="U46" s="117"/>
      <c r="V46" s="61" t="s">
        <v>27</v>
      </c>
    </row>
    <row r="47" spans="1:22" ht="13.5" customHeight="1" x14ac:dyDescent="0.3">
      <c r="A47" s="56">
        <v>76.34</v>
      </c>
      <c r="B47" s="57">
        <v>37.479999999999997</v>
      </c>
      <c r="C47" s="57"/>
      <c r="D47" s="57" t="s">
        <v>21</v>
      </c>
      <c r="E47" s="57" t="s">
        <v>80</v>
      </c>
      <c r="F47" s="57">
        <v>401</v>
      </c>
      <c r="G47" s="57" t="s">
        <v>23</v>
      </c>
      <c r="H47" s="57">
        <v>4</v>
      </c>
      <c r="I47" s="57">
        <v>1</v>
      </c>
      <c r="J47" s="58"/>
      <c r="K47" s="59">
        <v>75958.3</v>
      </c>
      <c r="L47" s="59">
        <v>500</v>
      </c>
      <c r="M47" s="59">
        <v>3297.9150000000004</v>
      </c>
      <c r="N47" s="60">
        <f t="shared" si="6"/>
        <v>11393.745000000001</v>
      </c>
      <c r="O47" s="59">
        <f t="shared" si="7"/>
        <v>474.73937500000005</v>
      </c>
      <c r="P47" s="80">
        <f t="shared" si="8"/>
        <v>60766.640000000007</v>
      </c>
      <c r="Q47" s="108" t="s">
        <v>33</v>
      </c>
      <c r="R47" s="67"/>
      <c r="S47" s="67"/>
      <c r="T47" s="68" t="str">
        <f t="shared" ref="T47:T56" si="9">IF(S47="","",S47+2)</f>
        <v/>
      </c>
      <c r="U47" s="117"/>
      <c r="V47" s="67"/>
    </row>
    <row r="48" spans="1:22" ht="14.4" x14ac:dyDescent="0.3">
      <c r="A48" s="62">
        <v>76.34</v>
      </c>
      <c r="B48" s="63">
        <v>37.479999999999997</v>
      </c>
      <c r="C48" s="63"/>
      <c r="D48" s="63" t="s">
        <v>21</v>
      </c>
      <c r="E48" s="63" t="s">
        <v>80</v>
      </c>
      <c r="F48" s="63">
        <v>402</v>
      </c>
      <c r="G48" s="63" t="s">
        <v>23</v>
      </c>
      <c r="H48" s="63">
        <v>4</v>
      </c>
      <c r="I48" s="63">
        <v>1</v>
      </c>
      <c r="J48" s="64"/>
      <c r="K48" s="65">
        <v>75958.3</v>
      </c>
      <c r="L48" s="65">
        <v>500</v>
      </c>
      <c r="M48" s="65">
        <v>3297.9150000000004</v>
      </c>
      <c r="N48" s="66">
        <f t="shared" si="6"/>
        <v>11393.745000000001</v>
      </c>
      <c r="O48" s="65">
        <f t="shared" si="7"/>
        <v>474.73937500000005</v>
      </c>
      <c r="P48" s="81">
        <f t="shared" si="8"/>
        <v>60766.640000000007</v>
      </c>
      <c r="Q48" s="108" t="s">
        <v>44</v>
      </c>
      <c r="R48" s="67" t="s">
        <v>50</v>
      </c>
      <c r="S48" s="68">
        <v>46132</v>
      </c>
      <c r="T48" s="68">
        <f t="shared" si="9"/>
        <v>46134</v>
      </c>
      <c r="U48" s="117"/>
      <c r="V48" s="67" t="s">
        <v>57</v>
      </c>
    </row>
    <row r="49" spans="1:22" ht="14.4" x14ac:dyDescent="0.3">
      <c r="A49" s="52">
        <v>76.34</v>
      </c>
      <c r="B49" s="53"/>
      <c r="C49" s="53">
        <v>22.29</v>
      </c>
      <c r="D49" s="53" t="s">
        <v>21</v>
      </c>
      <c r="E49" s="53" t="s">
        <v>91</v>
      </c>
      <c r="F49" s="53">
        <v>101</v>
      </c>
      <c r="G49" s="53" t="s">
        <v>23</v>
      </c>
      <c r="H49" s="53">
        <v>1</v>
      </c>
      <c r="I49" s="53">
        <v>1</v>
      </c>
      <c r="J49" s="82" t="s">
        <v>92</v>
      </c>
      <c r="K49" s="54">
        <v>75958.3</v>
      </c>
      <c r="L49" s="54">
        <v>500</v>
      </c>
      <c r="M49" s="54">
        <v>3297.9150000000004</v>
      </c>
      <c r="N49" s="55">
        <f t="shared" si="6"/>
        <v>11393.745000000001</v>
      </c>
      <c r="O49" s="54">
        <f t="shared" si="7"/>
        <v>474.73937500000005</v>
      </c>
      <c r="P49" s="79">
        <f t="shared" si="8"/>
        <v>60766.640000000007</v>
      </c>
      <c r="Q49" s="108" t="s">
        <v>25</v>
      </c>
      <c r="R49" s="67" t="s">
        <v>26</v>
      </c>
      <c r="S49" s="68">
        <v>46104</v>
      </c>
      <c r="T49" s="132">
        <v>46135</v>
      </c>
      <c r="U49" s="117"/>
      <c r="V49" s="120" t="s">
        <v>93</v>
      </c>
    </row>
    <row r="50" spans="1:22" ht="14.4" x14ac:dyDescent="0.3">
      <c r="A50" s="56">
        <v>76.34</v>
      </c>
      <c r="B50" s="57"/>
      <c r="C50" s="57">
        <v>22.29</v>
      </c>
      <c r="D50" s="57" t="s">
        <v>21</v>
      </c>
      <c r="E50" s="57" t="s">
        <v>91</v>
      </c>
      <c r="F50" s="57">
        <v>102</v>
      </c>
      <c r="G50" s="57" t="s">
        <v>23</v>
      </c>
      <c r="H50" s="57">
        <v>1</v>
      </c>
      <c r="I50" s="57">
        <v>1</v>
      </c>
      <c r="J50" s="83" t="s">
        <v>94</v>
      </c>
      <c r="K50" s="59">
        <v>75958.3</v>
      </c>
      <c r="L50" s="59">
        <v>500</v>
      </c>
      <c r="M50" s="59">
        <v>3297.9150000000004</v>
      </c>
      <c r="N50" s="60">
        <f t="shared" si="6"/>
        <v>11393.745000000001</v>
      </c>
      <c r="O50" s="59">
        <f t="shared" si="7"/>
        <v>474.73937500000005</v>
      </c>
      <c r="P50" s="80">
        <f t="shared" si="8"/>
        <v>60766.640000000007</v>
      </c>
      <c r="Q50" s="108" t="s">
        <v>25</v>
      </c>
      <c r="R50" s="67" t="s">
        <v>95</v>
      </c>
      <c r="S50" s="68">
        <v>46105</v>
      </c>
      <c r="T50" s="119">
        <v>46136</v>
      </c>
      <c r="U50" s="114"/>
      <c r="V50" s="120" t="s">
        <v>96</v>
      </c>
    </row>
    <row r="51" spans="1:22" ht="17.25" customHeight="1" x14ac:dyDescent="0.3">
      <c r="A51" s="56">
        <v>76.34</v>
      </c>
      <c r="B51" s="57"/>
      <c r="C51" s="57"/>
      <c r="D51" s="57" t="s">
        <v>21</v>
      </c>
      <c r="E51" s="57" t="s">
        <v>91</v>
      </c>
      <c r="F51" s="57">
        <v>201</v>
      </c>
      <c r="G51" s="57" t="s">
        <v>23</v>
      </c>
      <c r="H51" s="57">
        <v>2</v>
      </c>
      <c r="I51" s="57">
        <v>1</v>
      </c>
      <c r="J51" s="58"/>
      <c r="K51" s="59">
        <v>70232.800000000003</v>
      </c>
      <c r="L51" s="59">
        <v>500</v>
      </c>
      <c r="M51" s="59">
        <v>3011.6400000000003</v>
      </c>
      <c r="N51" s="60">
        <f t="shared" si="6"/>
        <v>10534.92</v>
      </c>
      <c r="O51" s="59">
        <f t="shared" si="7"/>
        <v>438.95499999999998</v>
      </c>
      <c r="P51" s="80">
        <f t="shared" si="8"/>
        <v>56186.240000000005</v>
      </c>
      <c r="Q51" s="108" t="s">
        <v>33</v>
      </c>
      <c r="R51" s="67"/>
      <c r="S51" s="67"/>
      <c r="T51" s="68" t="str">
        <f t="shared" si="9"/>
        <v/>
      </c>
      <c r="U51" s="117"/>
      <c r="V51" s="67"/>
    </row>
    <row r="52" spans="1:22" ht="14.4" x14ac:dyDescent="0.3">
      <c r="A52" s="56">
        <v>76.34</v>
      </c>
      <c r="B52" s="57"/>
      <c r="C52" s="57"/>
      <c r="D52" s="57" t="s">
        <v>21</v>
      </c>
      <c r="E52" s="57" t="s">
        <v>91</v>
      </c>
      <c r="F52" s="57">
        <v>202</v>
      </c>
      <c r="G52" s="57" t="s">
        <v>23</v>
      </c>
      <c r="H52" s="57">
        <v>2</v>
      </c>
      <c r="I52" s="57">
        <v>1</v>
      </c>
      <c r="J52" s="58"/>
      <c r="K52" s="59">
        <v>70232.800000000003</v>
      </c>
      <c r="L52" s="59">
        <v>500</v>
      </c>
      <c r="M52" s="59">
        <v>3011.6400000000003</v>
      </c>
      <c r="N52" s="60">
        <f t="shared" si="6"/>
        <v>10534.92</v>
      </c>
      <c r="O52" s="59">
        <f t="shared" si="7"/>
        <v>438.95499999999998</v>
      </c>
      <c r="P52" s="80">
        <f t="shared" si="8"/>
        <v>56186.240000000005</v>
      </c>
      <c r="Q52" s="108" t="s">
        <v>33</v>
      </c>
      <c r="R52" s="67"/>
      <c r="S52" s="67"/>
      <c r="T52" s="68" t="str">
        <f t="shared" si="9"/>
        <v/>
      </c>
      <c r="U52" s="117"/>
      <c r="V52" s="67"/>
    </row>
    <row r="53" spans="1:22" ht="14.4" x14ac:dyDescent="0.3">
      <c r="A53" s="56">
        <v>76.34</v>
      </c>
      <c r="B53" s="57"/>
      <c r="C53" s="57"/>
      <c r="D53" s="57" t="s">
        <v>21</v>
      </c>
      <c r="E53" s="57" t="s">
        <v>91</v>
      </c>
      <c r="F53" s="57">
        <v>301</v>
      </c>
      <c r="G53" s="57" t="s">
        <v>23</v>
      </c>
      <c r="H53" s="57">
        <v>3</v>
      </c>
      <c r="I53" s="57">
        <v>1</v>
      </c>
      <c r="J53" s="61" t="s">
        <v>97</v>
      </c>
      <c r="K53" s="59">
        <v>66415.8</v>
      </c>
      <c r="L53" s="59">
        <v>500</v>
      </c>
      <c r="M53" s="59">
        <v>2820.7900000000004</v>
      </c>
      <c r="N53" s="60">
        <f t="shared" si="6"/>
        <v>9962.3700000000008</v>
      </c>
      <c r="O53" s="59">
        <f t="shared" si="7"/>
        <v>415.09875000000005</v>
      </c>
      <c r="P53" s="80">
        <f t="shared" si="8"/>
        <v>53132.639999999999</v>
      </c>
      <c r="Q53" s="108" t="s">
        <v>25</v>
      </c>
      <c r="R53" s="67" t="s">
        <v>26</v>
      </c>
      <c r="S53" s="68">
        <v>46123</v>
      </c>
      <c r="T53" s="68">
        <v>46153</v>
      </c>
      <c r="U53" s="117"/>
      <c r="V53" s="120" t="s">
        <v>98</v>
      </c>
    </row>
    <row r="54" spans="1:22" ht="14.4" x14ac:dyDescent="0.3">
      <c r="A54" s="56">
        <v>76.34</v>
      </c>
      <c r="B54" s="57"/>
      <c r="C54" s="57"/>
      <c r="D54" s="57" t="s">
        <v>21</v>
      </c>
      <c r="E54" s="57" t="s">
        <v>91</v>
      </c>
      <c r="F54" s="57">
        <v>302</v>
      </c>
      <c r="G54" s="57" t="s">
        <v>23</v>
      </c>
      <c r="H54" s="57">
        <v>3</v>
      </c>
      <c r="I54" s="57">
        <v>1</v>
      </c>
      <c r="J54" s="61" t="s">
        <v>99</v>
      </c>
      <c r="K54" s="59">
        <v>66415.8</v>
      </c>
      <c r="L54" s="59">
        <v>500</v>
      </c>
      <c r="M54" s="59">
        <v>2820.7900000000004</v>
      </c>
      <c r="N54" s="60">
        <f t="shared" si="6"/>
        <v>9962.3700000000008</v>
      </c>
      <c r="O54" s="59">
        <f t="shared" si="7"/>
        <v>415.09875000000005</v>
      </c>
      <c r="P54" s="80">
        <f t="shared" si="8"/>
        <v>53132.639999999999</v>
      </c>
      <c r="Q54" s="108" t="s">
        <v>25</v>
      </c>
      <c r="R54" s="67" t="s">
        <v>100</v>
      </c>
      <c r="S54" s="68">
        <v>46132</v>
      </c>
      <c r="T54" s="68">
        <v>46162</v>
      </c>
      <c r="U54" s="117"/>
      <c r="V54" s="120" t="s">
        <v>101</v>
      </c>
    </row>
    <row r="55" spans="1:22" ht="14.4" x14ac:dyDescent="0.3">
      <c r="A55" s="56">
        <v>76.34</v>
      </c>
      <c r="B55" s="57">
        <v>37.479999999999997</v>
      </c>
      <c r="C55" s="57"/>
      <c r="D55" s="57" t="s">
        <v>21</v>
      </c>
      <c r="E55" s="57" t="s">
        <v>91</v>
      </c>
      <c r="F55" s="57">
        <v>401</v>
      </c>
      <c r="G55" s="57" t="s">
        <v>23</v>
      </c>
      <c r="H55" s="57">
        <v>4</v>
      </c>
      <c r="I55" s="57">
        <v>1</v>
      </c>
      <c r="J55" s="58"/>
      <c r="K55" s="59">
        <v>75958.3</v>
      </c>
      <c r="L55" s="59">
        <v>500</v>
      </c>
      <c r="M55" s="59">
        <v>3297.9150000000004</v>
      </c>
      <c r="N55" s="60">
        <f t="shared" si="6"/>
        <v>11393.745000000001</v>
      </c>
      <c r="O55" s="59">
        <f t="shared" si="7"/>
        <v>474.73937500000005</v>
      </c>
      <c r="P55" s="80">
        <f t="shared" si="8"/>
        <v>60766.640000000007</v>
      </c>
      <c r="Q55" s="108" t="s">
        <v>33</v>
      </c>
      <c r="R55" s="67"/>
      <c r="S55" s="67"/>
      <c r="T55" s="68" t="str">
        <f t="shared" si="9"/>
        <v/>
      </c>
      <c r="U55" s="117"/>
      <c r="V55" s="67"/>
    </row>
    <row r="56" spans="1:22" ht="14.4" x14ac:dyDescent="0.3">
      <c r="A56" s="62">
        <v>76.34</v>
      </c>
      <c r="B56" s="63">
        <v>37.479999999999997</v>
      </c>
      <c r="C56" s="63"/>
      <c r="D56" s="63" t="s">
        <v>21</v>
      </c>
      <c r="E56" s="63" t="s">
        <v>91</v>
      </c>
      <c r="F56" s="63">
        <v>402</v>
      </c>
      <c r="G56" s="63" t="s">
        <v>23</v>
      </c>
      <c r="H56" s="63">
        <v>4</v>
      </c>
      <c r="I56" s="63">
        <v>1</v>
      </c>
      <c r="J56" s="64"/>
      <c r="K56" s="65">
        <v>75958.3</v>
      </c>
      <c r="L56" s="65">
        <v>500</v>
      </c>
      <c r="M56" s="65">
        <v>3297.9150000000004</v>
      </c>
      <c r="N56" s="66">
        <f t="shared" si="6"/>
        <v>11393.745000000001</v>
      </c>
      <c r="O56" s="65">
        <f t="shared" si="7"/>
        <v>474.73937500000005</v>
      </c>
      <c r="P56" s="81">
        <f t="shared" si="8"/>
        <v>60766.640000000007</v>
      </c>
      <c r="Q56" s="108" t="s">
        <v>33</v>
      </c>
      <c r="R56" s="67"/>
      <c r="S56" s="67"/>
      <c r="T56" s="68" t="str">
        <f t="shared" si="9"/>
        <v/>
      </c>
      <c r="U56" s="117"/>
      <c r="V56" s="67"/>
    </row>
    <row r="57" spans="1:22" ht="14.4" x14ac:dyDescent="0.3">
      <c r="A57" s="8">
        <v>82.09</v>
      </c>
      <c r="B57" s="9"/>
      <c r="C57" s="9"/>
      <c r="D57" s="9" t="s">
        <v>22</v>
      </c>
      <c r="E57" s="9" t="s">
        <v>102</v>
      </c>
      <c r="F57" s="9">
        <v>101</v>
      </c>
      <c r="G57" s="9" t="s">
        <v>22</v>
      </c>
      <c r="H57" s="9">
        <v>1</v>
      </c>
      <c r="I57" s="9">
        <v>1</v>
      </c>
      <c r="J57" s="48" t="s">
        <v>103</v>
      </c>
      <c r="K57" s="10">
        <v>75933.25</v>
      </c>
      <c r="L57" s="10">
        <v>500</v>
      </c>
      <c r="M57" s="10">
        <v>3296.6625000000004</v>
      </c>
      <c r="N57" s="11">
        <f t="shared" si="0"/>
        <v>11389.987499999999</v>
      </c>
      <c r="O57" s="12">
        <f t="shared" si="1"/>
        <v>474.58281249999999</v>
      </c>
      <c r="P57" s="70">
        <f t="shared" ref="P57:P72" si="10">+K57-N57-L57-M57</f>
        <v>60746.6</v>
      </c>
      <c r="Q57" s="20" t="s">
        <v>25</v>
      </c>
      <c r="R57" s="67" t="s">
        <v>26</v>
      </c>
      <c r="S57" s="68">
        <v>46094</v>
      </c>
      <c r="T57" s="113">
        <v>46125</v>
      </c>
      <c r="U57" s="114"/>
      <c r="V57" s="115" t="s">
        <v>31</v>
      </c>
    </row>
    <row r="58" spans="1:22" ht="14.4" x14ac:dyDescent="0.3">
      <c r="A58" s="13">
        <v>82.09</v>
      </c>
      <c r="B58" s="14"/>
      <c r="C58" s="14"/>
      <c r="D58" s="14" t="s">
        <v>22</v>
      </c>
      <c r="E58" s="14" t="s">
        <v>102</v>
      </c>
      <c r="F58" s="14">
        <v>102</v>
      </c>
      <c r="G58" s="14" t="s">
        <v>22</v>
      </c>
      <c r="H58" s="14">
        <v>1</v>
      </c>
      <c r="I58" s="14">
        <v>1</v>
      </c>
      <c r="J58" s="33" t="s">
        <v>104</v>
      </c>
      <c r="K58" s="15">
        <v>75933.25</v>
      </c>
      <c r="L58" s="15">
        <v>500</v>
      </c>
      <c r="M58" s="15">
        <v>3296.6625000000004</v>
      </c>
      <c r="N58" s="11">
        <f t="shared" si="0"/>
        <v>11389.987499999999</v>
      </c>
      <c r="O58" s="12">
        <f t="shared" si="1"/>
        <v>474.58281249999999</v>
      </c>
      <c r="P58" s="70">
        <f t="shared" si="10"/>
        <v>60746.6</v>
      </c>
      <c r="Q58" s="20" t="s">
        <v>25</v>
      </c>
      <c r="R58" s="67" t="s">
        <v>26</v>
      </c>
      <c r="S58" s="68">
        <v>46094</v>
      </c>
      <c r="T58" s="123">
        <v>46125</v>
      </c>
      <c r="U58" s="114"/>
      <c r="V58" s="120" t="s">
        <v>105</v>
      </c>
    </row>
    <row r="59" spans="1:22" ht="14.4" x14ac:dyDescent="0.3">
      <c r="A59" s="13">
        <v>85.98</v>
      </c>
      <c r="B59" s="14"/>
      <c r="C59" s="14"/>
      <c r="D59" s="14" t="s">
        <v>22</v>
      </c>
      <c r="E59" s="14" t="s">
        <v>102</v>
      </c>
      <c r="F59" s="14">
        <v>103</v>
      </c>
      <c r="G59" s="14" t="s">
        <v>22</v>
      </c>
      <c r="H59" s="14">
        <v>1</v>
      </c>
      <c r="I59" s="14">
        <v>1</v>
      </c>
      <c r="J59" s="31" t="s">
        <v>106</v>
      </c>
      <c r="K59" s="15">
        <v>79531.5</v>
      </c>
      <c r="L59" s="15">
        <v>500</v>
      </c>
      <c r="M59" s="15">
        <v>3476.5750000000003</v>
      </c>
      <c r="N59" s="11">
        <f t="shared" si="0"/>
        <v>11929.725</v>
      </c>
      <c r="O59" s="12">
        <f t="shared" si="1"/>
        <v>497.07187500000003</v>
      </c>
      <c r="P59" s="70">
        <f t="shared" si="10"/>
        <v>63625.2</v>
      </c>
      <c r="Q59" s="20" t="s">
        <v>25</v>
      </c>
      <c r="R59" s="67" t="s">
        <v>50</v>
      </c>
      <c r="S59" s="68">
        <v>46091</v>
      </c>
      <c r="T59" s="123">
        <v>46122</v>
      </c>
      <c r="U59" s="114"/>
      <c r="V59" s="120" t="s">
        <v>107</v>
      </c>
    </row>
    <row r="60" spans="1:22" ht="14.4" x14ac:dyDescent="0.3">
      <c r="A60" s="13">
        <v>85.98</v>
      </c>
      <c r="B60" s="14"/>
      <c r="C60" s="14"/>
      <c r="D60" s="14" t="s">
        <v>22</v>
      </c>
      <c r="E60" s="14" t="s">
        <v>102</v>
      </c>
      <c r="F60" s="14">
        <v>104</v>
      </c>
      <c r="G60" s="14" t="s">
        <v>22</v>
      </c>
      <c r="H60" s="14">
        <v>1</v>
      </c>
      <c r="I60" s="14">
        <v>1</v>
      </c>
      <c r="J60" s="31" t="s">
        <v>108</v>
      </c>
      <c r="K60" s="15">
        <v>79531.5</v>
      </c>
      <c r="L60" s="15">
        <v>500</v>
      </c>
      <c r="M60" s="15">
        <v>3476.5750000000003</v>
      </c>
      <c r="N60" s="11">
        <f t="shared" si="0"/>
        <v>11929.725</v>
      </c>
      <c r="O60" s="12">
        <f t="shared" si="1"/>
        <v>497.07187500000003</v>
      </c>
      <c r="P60" s="70">
        <f t="shared" si="10"/>
        <v>63625.2</v>
      </c>
      <c r="Q60" s="20" t="s">
        <v>25</v>
      </c>
      <c r="R60" s="67" t="s">
        <v>30</v>
      </c>
      <c r="S60" s="68">
        <v>46099</v>
      </c>
      <c r="T60" s="113">
        <v>46130</v>
      </c>
      <c r="U60" s="114"/>
      <c r="V60" s="115" t="s">
        <v>31</v>
      </c>
    </row>
    <row r="61" spans="1:22" ht="14.4" x14ac:dyDescent="0.3">
      <c r="A61" s="13">
        <v>82.09</v>
      </c>
      <c r="B61" s="14"/>
      <c r="C61" s="14"/>
      <c r="D61" s="14" t="s">
        <v>22</v>
      </c>
      <c r="E61" s="14" t="s">
        <v>102</v>
      </c>
      <c r="F61" s="14">
        <v>201</v>
      </c>
      <c r="G61" s="14" t="s">
        <v>22</v>
      </c>
      <c r="H61" s="14">
        <v>2</v>
      </c>
      <c r="I61" s="14">
        <v>1</v>
      </c>
      <c r="J61" s="33" t="s">
        <v>109</v>
      </c>
      <c r="K61" s="15">
        <v>75522.8</v>
      </c>
      <c r="L61" s="15">
        <v>500</v>
      </c>
      <c r="M61" s="15">
        <v>3276.1400000000003</v>
      </c>
      <c r="N61" s="11">
        <f t="shared" si="0"/>
        <v>11328.42</v>
      </c>
      <c r="O61" s="12">
        <f t="shared" si="1"/>
        <v>472.01749999999998</v>
      </c>
      <c r="P61" s="70">
        <f t="shared" si="10"/>
        <v>60418.240000000005</v>
      </c>
      <c r="Q61" s="20" t="s">
        <v>25</v>
      </c>
      <c r="R61" s="67" t="s">
        <v>95</v>
      </c>
      <c r="S61" s="68">
        <v>46083</v>
      </c>
      <c r="T61" s="113">
        <v>46114</v>
      </c>
      <c r="U61" s="114"/>
      <c r="V61" s="115" t="s">
        <v>31</v>
      </c>
    </row>
    <row r="62" spans="1:22" ht="14.4" x14ac:dyDescent="0.3">
      <c r="A62" s="13">
        <v>82.09</v>
      </c>
      <c r="B62" s="14"/>
      <c r="C62" s="14"/>
      <c r="D62" s="14" t="s">
        <v>22</v>
      </c>
      <c r="E62" s="14" t="s">
        <v>102</v>
      </c>
      <c r="F62" s="14">
        <v>202</v>
      </c>
      <c r="G62" s="14" t="s">
        <v>22</v>
      </c>
      <c r="H62" s="14">
        <v>2</v>
      </c>
      <c r="I62" s="14">
        <v>1</v>
      </c>
      <c r="J62" s="33" t="s">
        <v>110</v>
      </c>
      <c r="K62" s="15">
        <v>75522.8</v>
      </c>
      <c r="L62" s="15">
        <v>500</v>
      </c>
      <c r="M62" s="15">
        <v>3276.1400000000003</v>
      </c>
      <c r="N62" s="11">
        <f t="shared" si="0"/>
        <v>11328.42</v>
      </c>
      <c r="O62" s="12">
        <f t="shared" si="1"/>
        <v>472.01749999999998</v>
      </c>
      <c r="P62" s="70">
        <f t="shared" si="10"/>
        <v>60418.240000000005</v>
      </c>
      <c r="Q62" s="20" t="s">
        <v>25</v>
      </c>
      <c r="R62" s="67" t="s">
        <v>95</v>
      </c>
      <c r="S62" s="68">
        <v>46083</v>
      </c>
      <c r="T62" s="113">
        <v>46114</v>
      </c>
      <c r="U62" s="114"/>
      <c r="V62" s="115" t="s">
        <v>31</v>
      </c>
    </row>
    <row r="63" spans="1:22" ht="14.4" x14ac:dyDescent="0.3">
      <c r="A63" s="13">
        <v>85.98</v>
      </c>
      <c r="B63" s="14"/>
      <c r="C63" s="14"/>
      <c r="D63" s="14" t="s">
        <v>22</v>
      </c>
      <c r="E63" s="14" t="s">
        <v>102</v>
      </c>
      <c r="F63" s="14">
        <v>203</v>
      </c>
      <c r="G63" s="14" t="s">
        <v>22</v>
      </c>
      <c r="H63" s="14">
        <v>2</v>
      </c>
      <c r="I63" s="14">
        <v>1</v>
      </c>
      <c r="J63" s="27" t="s">
        <v>111</v>
      </c>
      <c r="K63" s="15">
        <v>79101.600000000006</v>
      </c>
      <c r="L63" s="15">
        <v>500</v>
      </c>
      <c r="M63" s="15">
        <v>3455.0800000000004</v>
      </c>
      <c r="N63" s="11">
        <f t="shared" si="0"/>
        <v>11865.24</v>
      </c>
      <c r="O63" s="12">
        <f t="shared" si="1"/>
        <v>494.38499999999999</v>
      </c>
      <c r="P63" s="70">
        <f t="shared" si="10"/>
        <v>63281.279999999999</v>
      </c>
      <c r="Q63" s="20" t="s">
        <v>25</v>
      </c>
      <c r="R63" s="67" t="s">
        <v>30</v>
      </c>
      <c r="S63" s="68">
        <v>46083</v>
      </c>
      <c r="T63" s="113">
        <v>46114</v>
      </c>
      <c r="U63" s="114"/>
      <c r="V63" s="61" t="s">
        <v>27</v>
      </c>
    </row>
    <row r="64" spans="1:22" ht="14.4" x14ac:dyDescent="0.3">
      <c r="A64" s="13">
        <v>85.98</v>
      </c>
      <c r="B64" s="14"/>
      <c r="C64" s="14"/>
      <c r="D64" s="14" t="s">
        <v>22</v>
      </c>
      <c r="E64" s="14" t="s">
        <v>102</v>
      </c>
      <c r="F64" s="14">
        <v>204</v>
      </c>
      <c r="G64" s="14" t="s">
        <v>22</v>
      </c>
      <c r="H64" s="14">
        <v>2</v>
      </c>
      <c r="I64" s="14">
        <v>1</v>
      </c>
      <c r="J64" s="32" t="s">
        <v>112</v>
      </c>
      <c r="K64" s="15">
        <v>79101.600000000006</v>
      </c>
      <c r="L64" s="15">
        <v>500</v>
      </c>
      <c r="M64" s="15">
        <v>3455.0800000000004</v>
      </c>
      <c r="N64" s="11">
        <f t="shared" si="0"/>
        <v>11865.24</v>
      </c>
      <c r="O64" s="12">
        <f t="shared" si="1"/>
        <v>494.38499999999999</v>
      </c>
      <c r="P64" s="70">
        <f t="shared" si="10"/>
        <v>63281.279999999999</v>
      </c>
      <c r="Q64" s="20" t="s">
        <v>25</v>
      </c>
      <c r="R64" s="67" t="s">
        <v>30</v>
      </c>
      <c r="S64" s="68">
        <v>46083</v>
      </c>
      <c r="T64" s="113">
        <v>46114</v>
      </c>
      <c r="U64" s="114"/>
      <c r="V64" s="61" t="s">
        <v>27</v>
      </c>
    </row>
    <row r="65" spans="1:22" ht="14.4" x14ac:dyDescent="0.3">
      <c r="A65" s="13">
        <v>82.09</v>
      </c>
      <c r="B65" s="14"/>
      <c r="C65" s="14"/>
      <c r="D65" s="14" t="s">
        <v>22</v>
      </c>
      <c r="E65" s="14" t="s">
        <v>102</v>
      </c>
      <c r="F65" s="14">
        <v>301</v>
      </c>
      <c r="G65" s="14" t="s">
        <v>22</v>
      </c>
      <c r="H65" s="14">
        <v>3</v>
      </c>
      <c r="I65" s="14">
        <v>1</v>
      </c>
      <c r="J65" s="31" t="s">
        <v>113</v>
      </c>
      <c r="K65" s="15">
        <v>71418.3</v>
      </c>
      <c r="L65" s="15">
        <v>500</v>
      </c>
      <c r="M65" s="15">
        <v>3070.9150000000004</v>
      </c>
      <c r="N65" s="11">
        <f t="shared" si="0"/>
        <v>10712.745000000001</v>
      </c>
      <c r="O65" s="12">
        <f t="shared" si="1"/>
        <v>446.36437500000005</v>
      </c>
      <c r="P65" s="70">
        <f t="shared" si="10"/>
        <v>57134.64</v>
      </c>
      <c r="Q65" s="20" t="s">
        <v>25</v>
      </c>
      <c r="R65" s="67" t="s">
        <v>26</v>
      </c>
      <c r="S65" s="68">
        <v>46080</v>
      </c>
      <c r="T65" s="113">
        <v>46108</v>
      </c>
      <c r="U65" s="114"/>
      <c r="V65" s="115" t="s">
        <v>31</v>
      </c>
    </row>
    <row r="66" spans="1:22" ht="14.4" x14ac:dyDescent="0.3">
      <c r="A66" s="13">
        <v>82.09</v>
      </c>
      <c r="B66" s="14"/>
      <c r="C66" s="14"/>
      <c r="D66" s="14" t="s">
        <v>22</v>
      </c>
      <c r="E66" s="14" t="s">
        <v>102</v>
      </c>
      <c r="F66" s="14">
        <v>302</v>
      </c>
      <c r="G66" s="14" t="s">
        <v>22</v>
      </c>
      <c r="H66" s="14">
        <v>3</v>
      </c>
      <c r="I66" s="14">
        <v>1</v>
      </c>
      <c r="J66" s="31" t="s">
        <v>114</v>
      </c>
      <c r="K66" s="15">
        <v>71418.3</v>
      </c>
      <c r="L66" s="15">
        <v>500</v>
      </c>
      <c r="M66" s="15">
        <v>3070.9150000000004</v>
      </c>
      <c r="N66" s="11">
        <f t="shared" si="0"/>
        <v>10712.745000000001</v>
      </c>
      <c r="O66" s="12">
        <f t="shared" si="1"/>
        <v>446.36437500000005</v>
      </c>
      <c r="P66" s="70">
        <f t="shared" si="10"/>
        <v>57134.64</v>
      </c>
      <c r="Q66" s="20" t="s">
        <v>25</v>
      </c>
      <c r="R66" s="67" t="s">
        <v>30</v>
      </c>
      <c r="S66" s="68">
        <v>46090</v>
      </c>
      <c r="T66" s="113">
        <v>46121</v>
      </c>
      <c r="U66" s="114"/>
      <c r="V66" s="61" t="s">
        <v>27</v>
      </c>
    </row>
    <row r="67" spans="1:22" ht="14.4" x14ac:dyDescent="0.3">
      <c r="A67" s="13">
        <v>85.98</v>
      </c>
      <c r="B67" s="14"/>
      <c r="C67" s="14"/>
      <c r="D67" s="14" t="s">
        <v>22</v>
      </c>
      <c r="E67" s="14" t="s">
        <v>102</v>
      </c>
      <c r="F67" s="14">
        <v>303</v>
      </c>
      <c r="G67" s="14" t="s">
        <v>22</v>
      </c>
      <c r="H67" s="14">
        <v>3</v>
      </c>
      <c r="I67" s="14">
        <v>1</v>
      </c>
      <c r="J67" s="31" t="s">
        <v>115</v>
      </c>
      <c r="K67" s="15">
        <v>74802.600000000006</v>
      </c>
      <c r="L67" s="15">
        <v>500</v>
      </c>
      <c r="M67" s="15">
        <v>3240.1300000000006</v>
      </c>
      <c r="N67" s="11">
        <f t="shared" si="0"/>
        <v>11220.390000000001</v>
      </c>
      <c r="O67" s="12">
        <f t="shared" si="1"/>
        <v>467.51625000000007</v>
      </c>
      <c r="P67" s="70">
        <f t="shared" si="10"/>
        <v>59842.080000000009</v>
      </c>
      <c r="Q67" s="20" t="s">
        <v>25</v>
      </c>
      <c r="R67" s="67" t="s">
        <v>50</v>
      </c>
      <c r="S67" s="68">
        <v>46091</v>
      </c>
      <c r="T67" s="123">
        <v>46122</v>
      </c>
      <c r="U67" s="114"/>
      <c r="V67" s="120" t="s">
        <v>107</v>
      </c>
    </row>
    <row r="68" spans="1:22" ht="14.4" x14ac:dyDescent="0.3">
      <c r="A68" s="13">
        <v>85.98</v>
      </c>
      <c r="B68" s="14"/>
      <c r="C68" s="14"/>
      <c r="D68" s="14" t="s">
        <v>22</v>
      </c>
      <c r="E68" s="14" t="s">
        <v>102</v>
      </c>
      <c r="F68" s="14">
        <v>304</v>
      </c>
      <c r="G68" s="14" t="s">
        <v>22</v>
      </c>
      <c r="H68" s="14">
        <v>3</v>
      </c>
      <c r="I68" s="14">
        <v>1</v>
      </c>
      <c r="J68" s="33" t="s">
        <v>116</v>
      </c>
      <c r="K68" s="15">
        <v>74802.600000000006</v>
      </c>
      <c r="L68" s="15">
        <v>500</v>
      </c>
      <c r="M68" s="15">
        <v>3240.1300000000006</v>
      </c>
      <c r="N68" s="11">
        <f t="shared" si="0"/>
        <v>11220.390000000001</v>
      </c>
      <c r="O68" s="12">
        <f t="shared" si="1"/>
        <v>467.51625000000007</v>
      </c>
      <c r="P68" s="70">
        <f t="shared" si="10"/>
        <v>59842.080000000009</v>
      </c>
      <c r="Q68" s="20" t="s">
        <v>25</v>
      </c>
      <c r="R68" s="67" t="s">
        <v>30</v>
      </c>
      <c r="S68" s="68">
        <v>46084</v>
      </c>
      <c r="T68" s="113">
        <v>46115</v>
      </c>
      <c r="U68" s="114"/>
      <c r="V68" s="115" t="s">
        <v>31</v>
      </c>
    </row>
    <row r="69" spans="1:22" ht="14.4" x14ac:dyDescent="0.3">
      <c r="A69" s="13">
        <v>82.09</v>
      </c>
      <c r="B69" s="14">
        <v>46.1</v>
      </c>
      <c r="C69" s="14"/>
      <c r="D69" s="14" t="s">
        <v>22</v>
      </c>
      <c r="E69" s="14" t="s">
        <v>102</v>
      </c>
      <c r="F69" s="14">
        <v>401</v>
      </c>
      <c r="G69" s="14" t="s">
        <v>22</v>
      </c>
      <c r="H69" s="14">
        <v>4</v>
      </c>
      <c r="I69" s="14">
        <v>1</v>
      </c>
      <c r="J69" s="33" t="s">
        <v>117</v>
      </c>
      <c r="K69" s="15">
        <v>81679.55</v>
      </c>
      <c r="L69" s="15">
        <v>500</v>
      </c>
      <c r="M69" s="15">
        <v>3583.9775000000004</v>
      </c>
      <c r="N69" s="11">
        <f t="shared" si="0"/>
        <v>12251.932500000001</v>
      </c>
      <c r="O69" s="12">
        <f t="shared" si="1"/>
        <v>510.49718750000005</v>
      </c>
      <c r="P69" s="70">
        <f t="shared" si="10"/>
        <v>65343.640000000007</v>
      </c>
      <c r="Q69" s="20" t="s">
        <v>25</v>
      </c>
      <c r="R69" s="67" t="s">
        <v>26</v>
      </c>
      <c r="S69" s="68">
        <v>46097</v>
      </c>
      <c r="T69" s="113">
        <v>46128</v>
      </c>
      <c r="U69" s="114"/>
      <c r="V69" s="115" t="s">
        <v>31</v>
      </c>
    </row>
    <row r="70" spans="1:22" ht="14.4" x14ac:dyDescent="0.3">
      <c r="A70" s="37">
        <v>82.09</v>
      </c>
      <c r="B70" s="38">
        <v>46.1</v>
      </c>
      <c r="C70" s="38"/>
      <c r="D70" s="38" t="s">
        <v>22</v>
      </c>
      <c r="E70" s="38" t="s">
        <v>102</v>
      </c>
      <c r="F70" s="38">
        <v>402</v>
      </c>
      <c r="G70" s="38" t="s">
        <v>22</v>
      </c>
      <c r="H70" s="38">
        <v>4</v>
      </c>
      <c r="I70" s="38">
        <v>1</v>
      </c>
      <c r="J70" s="39" t="s">
        <v>118</v>
      </c>
      <c r="K70" s="40">
        <v>81679.55</v>
      </c>
      <c r="L70" s="40">
        <v>500</v>
      </c>
      <c r="M70" s="40">
        <v>3583.9775000000004</v>
      </c>
      <c r="N70" s="41">
        <f t="shared" si="0"/>
        <v>12251.932500000001</v>
      </c>
      <c r="O70" s="42">
        <f t="shared" si="1"/>
        <v>510.49718750000005</v>
      </c>
      <c r="P70" s="74">
        <f t="shared" si="10"/>
        <v>65343.640000000007</v>
      </c>
      <c r="Q70" s="43" t="s">
        <v>25</v>
      </c>
      <c r="R70" s="67" t="s">
        <v>30</v>
      </c>
      <c r="S70" s="68">
        <v>46078</v>
      </c>
      <c r="T70" s="113">
        <v>46106</v>
      </c>
      <c r="U70" s="114"/>
      <c r="V70" s="61" t="s">
        <v>27</v>
      </c>
    </row>
    <row r="71" spans="1:22" ht="14.4" x14ac:dyDescent="0.3">
      <c r="A71" s="34">
        <v>85.98</v>
      </c>
      <c r="B71" s="34">
        <v>48.6</v>
      </c>
      <c r="C71" s="34"/>
      <c r="D71" s="34" t="s">
        <v>22</v>
      </c>
      <c r="E71" s="34" t="s">
        <v>102</v>
      </c>
      <c r="F71" s="34">
        <v>403</v>
      </c>
      <c r="G71" s="34" t="s">
        <v>22</v>
      </c>
      <c r="H71" s="34">
        <v>4</v>
      </c>
      <c r="I71" s="34">
        <v>1</v>
      </c>
      <c r="J71" s="99" t="s">
        <v>119</v>
      </c>
      <c r="K71" s="35">
        <v>85550.1</v>
      </c>
      <c r="L71" s="35">
        <v>500</v>
      </c>
      <c r="M71" s="35">
        <v>3777.5050000000001</v>
      </c>
      <c r="N71" s="36">
        <f t="shared" si="0"/>
        <v>12832.515000000001</v>
      </c>
      <c r="O71" s="35">
        <f t="shared" si="1"/>
        <v>534.68812500000001</v>
      </c>
      <c r="P71" s="75">
        <f t="shared" si="10"/>
        <v>68440.08</v>
      </c>
      <c r="Q71" s="109" t="s">
        <v>25</v>
      </c>
      <c r="R71" s="67" t="s">
        <v>120</v>
      </c>
      <c r="S71" s="68">
        <v>46127</v>
      </c>
      <c r="T71" s="128">
        <v>46157</v>
      </c>
      <c r="U71" s="114"/>
      <c r="V71" s="120" t="s">
        <v>121</v>
      </c>
    </row>
    <row r="72" spans="1:22" ht="14.4" x14ac:dyDescent="0.3">
      <c r="A72" s="34">
        <v>85.98</v>
      </c>
      <c r="B72" s="34">
        <v>48.6</v>
      </c>
      <c r="C72" s="34"/>
      <c r="D72" s="34" t="s">
        <v>22</v>
      </c>
      <c r="E72" s="34" t="s">
        <v>102</v>
      </c>
      <c r="F72" s="34">
        <v>404</v>
      </c>
      <c r="G72" s="34" t="s">
        <v>22</v>
      </c>
      <c r="H72" s="34">
        <v>4</v>
      </c>
      <c r="I72" s="34">
        <v>1</v>
      </c>
      <c r="J72" s="99" t="s">
        <v>122</v>
      </c>
      <c r="K72" s="35">
        <v>85550.1</v>
      </c>
      <c r="L72" s="35">
        <v>500</v>
      </c>
      <c r="M72" s="35">
        <v>3777.5050000000001</v>
      </c>
      <c r="N72" s="36">
        <f t="shared" si="0"/>
        <v>12832.515000000001</v>
      </c>
      <c r="O72" s="35">
        <f t="shared" si="1"/>
        <v>534.68812500000001</v>
      </c>
      <c r="P72" s="75">
        <f t="shared" si="10"/>
        <v>68440.08</v>
      </c>
      <c r="Q72" s="109" t="s">
        <v>25</v>
      </c>
      <c r="R72" s="67" t="s">
        <v>120</v>
      </c>
      <c r="S72" s="68">
        <v>46132</v>
      </c>
      <c r="T72" s="68">
        <v>46162</v>
      </c>
      <c r="U72" s="117"/>
      <c r="V72" s="120" t="s">
        <v>85</v>
      </c>
    </row>
    <row r="73" spans="1:22" ht="14.4" x14ac:dyDescent="0.3">
      <c r="A73" s="52">
        <v>82.09</v>
      </c>
      <c r="B73" s="53"/>
      <c r="C73" s="53"/>
      <c r="D73" s="53" t="s">
        <v>22</v>
      </c>
      <c r="E73" s="53" t="s">
        <v>123</v>
      </c>
      <c r="F73" s="53">
        <v>101</v>
      </c>
      <c r="G73" s="53" t="s">
        <v>22</v>
      </c>
      <c r="H73" s="53">
        <v>1</v>
      </c>
      <c r="I73" s="53">
        <v>1</v>
      </c>
      <c r="J73" s="82" t="s">
        <v>124</v>
      </c>
      <c r="K73" s="54">
        <v>75933.25</v>
      </c>
      <c r="L73" s="54">
        <v>500</v>
      </c>
      <c r="M73" s="54">
        <v>3296.6625000000004</v>
      </c>
      <c r="N73" s="55">
        <f t="shared" ref="N73:N88" si="11">+K73*15%</f>
        <v>11389.987499999999</v>
      </c>
      <c r="O73" s="54">
        <f t="shared" ref="O73:O88" si="12">+N73/24</f>
        <v>474.58281249999999</v>
      </c>
      <c r="P73" s="71">
        <f t="shared" ref="P73:P88" si="13">+K73-L73-M73-N73</f>
        <v>60746.599999999991</v>
      </c>
      <c r="Q73" s="108" t="s">
        <v>25</v>
      </c>
      <c r="R73" s="67" t="s">
        <v>30</v>
      </c>
      <c r="S73" s="68">
        <v>46119</v>
      </c>
      <c r="T73" s="128">
        <v>46149</v>
      </c>
      <c r="U73" s="114"/>
      <c r="V73" s="120" t="s">
        <v>125</v>
      </c>
    </row>
    <row r="74" spans="1:22" ht="15" customHeight="1" x14ac:dyDescent="0.3">
      <c r="A74" s="56">
        <v>82.09</v>
      </c>
      <c r="B74" s="57"/>
      <c r="C74" s="57"/>
      <c r="D74" s="57" t="s">
        <v>22</v>
      </c>
      <c r="E74" s="57" t="s">
        <v>123</v>
      </c>
      <c r="F74" s="57">
        <v>102</v>
      </c>
      <c r="G74" s="57" t="s">
        <v>22</v>
      </c>
      <c r="H74" s="57">
        <v>1</v>
      </c>
      <c r="I74" s="57">
        <v>1</v>
      </c>
      <c r="J74" s="69" t="s">
        <v>126</v>
      </c>
      <c r="K74" s="59">
        <v>75933.25</v>
      </c>
      <c r="L74" s="59">
        <v>500</v>
      </c>
      <c r="M74" s="59">
        <v>3296.6625000000004</v>
      </c>
      <c r="N74" s="60">
        <f t="shared" si="11"/>
        <v>11389.987499999999</v>
      </c>
      <c r="O74" s="59">
        <f t="shared" si="12"/>
        <v>474.58281249999999</v>
      </c>
      <c r="P74" s="72">
        <f t="shared" si="13"/>
        <v>60746.599999999991</v>
      </c>
      <c r="Q74" s="108" t="s">
        <v>25</v>
      </c>
      <c r="R74" s="67" t="s">
        <v>26</v>
      </c>
      <c r="S74" s="68">
        <v>46112</v>
      </c>
      <c r="T74" s="119">
        <v>46142</v>
      </c>
      <c r="U74" s="114"/>
      <c r="V74" s="120" t="s">
        <v>127</v>
      </c>
    </row>
    <row r="75" spans="1:22" ht="15" customHeight="1" x14ac:dyDescent="0.3">
      <c r="A75" s="56">
        <v>85.98</v>
      </c>
      <c r="B75" s="57"/>
      <c r="C75" s="57"/>
      <c r="D75" s="57" t="s">
        <v>22</v>
      </c>
      <c r="E75" s="57" t="s">
        <v>123</v>
      </c>
      <c r="F75" s="57">
        <v>103</v>
      </c>
      <c r="G75" s="57" t="s">
        <v>22</v>
      </c>
      <c r="H75" s="57">
        <v>1</v>
      </c>
      <c r="I75" s="57">
        <v>1</v>
      </c>
      <c r="J75" s="69" t="s">
        <v>128</v>
      </c>
      <c r="K75" s="59">
        <v>79531.5</v>
      </c>
      <c r="L75" s="59">
        <v>500</v>
      </c>
      <c r="M75" s="59">
        <v>3476.5750000000003</v>
      </c>
      <c r="N75" s="60">
        <f t="shared" si="11"/>
        <v>11929.725</v>
      </c>
      <c r="O75" s="59">
        <f t="shared" si="12"/>
        <v>497.07187500000003</v>
      </c>
      <c r="P75" s="72">
        <f t="shared" si="13"/>
        <v>63625.200000000004</v>
      </c>
      <c r="Q75" s="108" t="s">
        <v>25</v>
      </c>
      <c r="R75" s="67" t="s">
        <v>50</v>
      </c>
      <c r="S75" s="68">
        <v>46094</v>
      </c>
      <c r="T75" s="113">
        <v>46125</v>
      </c>
      <c r="U75" s="114"/>
      <c r="V75" s="115" t="s">
        <v>31</v>
      </c>
    </row>
    <row r="76" spans="1:22" ht="15" customHeight="1" x14ac:dyDescent="0.3">
      <c r="A76" s="56">
        <v>85.98</v>
      </c>
      <c r="B76" s="57"/>
      <c r="C76" s="57"/>
      <c r="D76" s="57" t="s">
        <v>22</v>
      </c>
      <c r="E76" s="57" t="s">
        <v>123</v>
      </c>
      <c r="F76" s="57">
        <v>104</v>
      </c>
      <c r="G76" s="57" t="s">
        <v>22</v>
      </c>
      <c r="H76" s="57">
        <v>1</v>
      </c>
      <c r="I76" s="57">
        <v>1</v>
      </c>
      <c r="J76" s="83"/>
      <c r="K76" s="59">
        <v>79531.5</v>
      </c>
      <c r="L76" s="59">
        <v>500</v>
      </c>
      <c r="M76" s="59">
        <v>3476.5750000000003</v>
      </c>
      <c r="N76" s="60">
        <f t="shared" si="11"/>
        <v>11929.725</v>
      </c>
      <c r="O76" s="59">
        <f t="shared" si="12"/>
        <v>497.07187500000003</v>
      </c>
      <c r="P76" s="72">
        <f t="shared" si="13"/>
        <v>63625.200000000004</v>
      </c>
      <c r="Q76" s="110" t="s">
        <v>33</v>
      </c>
      <c r="R76" s="67"/>
      <c r="S76" s="68"/>
      <c r="T76" s="68"/>
      <c r="U76" s="117"/>
      <c r="V76" s="67"/>
    </row>
    <row r="77" spans="1:22" ht="15" customHeight="1" x14ac:dyDescent="0.3">
      <c r="A77" s="56">
        <f t="shared" ref="A77:A88" si="14">A73</f>
        <v>82.09</v>
      </c>
      <c r="B77" s="57"/>
      <c r="C77" s="57"/>
      <c r="D77" s="57" t="s">
        <v>22</v>
      </c>
      <c r="E77" s="57" t="s">
        <v>123</v>
      </c>
      <c r="F77" s="57">
        <f t="shared" ref="F77:F88" si="15">F73+100</f>
        <v>201</v>
      </c>
      <c r="G77" s="57" t="s">
        <v>22</v>
      </c>
      <c r="H77" s="57">
        <f t="shared" ref="H77:H88" si="16">H73+1</f>
        <v>2</v>
      </c>
      <c r="I77" s="57">
        <v>1</v>
      </c>
      <c r="J77" s="61" t="s">
        <v>129</v>
      </c>
      <c r="K77" s="59">
        <v>75522.8</v>
      </c>
      <c r="L77" s="59">
        <v>500</v>
      </c>
      <c r="M77" s="59">
        <v>3276.1400000000003</v>
      </c>
      <c r="N77" s="60">
        <f t="shared" si="11"/>
        <v>11328.42</v>
      </c>
      <c r="O77" s="59">
        <f t="shared" si="12"/>
        <v>472.01749999999998</v>
      </c>
      <c r="P77" s="72">
        <f t="shared" si="13"/>
        <v>60418.240000000005</v>
      </c>
      <c r="Q77" s="108" t="s">
        <v>25</v>
      </c>
      <c r="R77" s="67" t="s">
        <v>48</v>
      </c>
      <c r="S77" s="68">
        <v>46126</v>
      </c>
      <c r="T77" s="68">
        <v>46156</v>
      </c>
      <c r="U77" s="117"/>
      <c r="V77" s="120" t="s">
        <v>130</v>
      </c>
    </row>
    <row r="78" spans="1:22" ht="15" customHeight="1" x14ac:dyDescent="0.3">
      <c r="A78" s="56">
        <f t="shared" si="14"/>
        <v>82.09</v>
      </c>
      <c r="B78" s="57"/>
      <c r="C78" s="57"/>
      <c r="D78" s="57" t="s">
        <v>22</v>
      </c>
      <c r="E78" s="57" t="s">
        <v>123</v>
      </c>
      <c r="F78" s="57">
        <f t="shared" si="15"/>
        <v>202</v>
      </c>
      <c r="G78" s="57" t="s">
        <v>22</v>
      </c>
      <c r="H78" s="57">
        <f t="shared" si="16"/>
        <v>2</v>
      </c>
      <c r="I78" s="57">
        <v>1</v>
      </c>
      <c r="J78" s="69" t="s">
        <v>131</v>
      </c>
      <c r="K78" s="59">
        <v>75522.8</v>
      </c>
      <c r="L78" s="59">
        <v>500</v>
      </c>
      <c r="M78" s="59">
        <v>3276.1400000000003</v>
      </c>
      <c r="N78" s="60">
        <f t="shared" si="11"/>
        <v>11328.42</v>
      </c>
      <c r="O78" s="59">
        <f t="shared" si="12"/>
        <v>472.01749999999998</v>
      </c>
      <c r="P78" s="72">
        <f t="shared" si="13"/>
        <v>60418.240000000005</v>
      </c>
      <c r="Q78" s="108" t="s">
        <v>25</v>
      </c>
      <c r="R78" s="67" t="s">
        <v>61</v>
      </c>
      <c r="S78" s="68">
        <v>46098</v>
      </c>
      <c r="T78" s="119">
        <v>46129</v>
      </c>
      <c r="U78" s="114"/>
      <c r="V78" s="78" t="s">
        <v>132</v>
      </c>
    </row>
    <row r="79" spans="1:22" ht="15" customHeight="1" x14ac:dyDescent="0.3">
      <c r="A79" s="56">
        <f t="shared" si="14"/>
        <v>85.98</v>
      </c>
      <c r="B79" s="57"/>
      <c r="C79" s="57"/>
      <c r="D79" s="57" t="s">
        <v>22</v>
      </c>
      <c r="E79" s="57" t="s">
        <v>123</v>
      </c>
      <c r="F79" s="57">
        <f t="shared" si="15"/>
        <v>203</v>
      </c>
      <c r="G79" s="57" t="s">
        <v>22</v>
      </c>
      <c r="H79" s="57">
        <f t="shared" si="16"/>
        <v>2</v>
      </c>
      <c r="I79" s="57">
        <v>1</v>
      </c>
      <c r="J79" s="61" t="s">
        <v>133</v>
      </c>
      <c r="K79" s="59">
        <v>79101.600000000006</v>
      </c>
      <c r="L79" s="59">
        <v>500</v>
      </c>
      <c r="M79" s="59">
        <v>3455.0800000000004</v>
      </c>
      <c r="N79" s="60">
        <f t="shared" si="11"/>
        <v>11865.24</v>
      </c>
      <c r="O79" s="59">
        <f t="shared" si="12"/>
        <v>494.38499999999999</v>
      </c>
      <c r="P79" s="72">
        <f t="shared" si="13"/>
        <v>63281.280000000006</v>
      </c>
      <c r="Q79" s="108" t="s">
        <v>25</v>
      </c>
      <c r="R79" s="67" t="s">
        <v>73</v>
      </c>
      <c r="S79" s="68">
        <v>46111</v>
      </c>
      <c r="T79" s="119">
        <v>46142</v>
      </c>
      <c r="U79" s="114"/>
      <c r="V79" s="120" t="s">
        <v>88</v>
      </c>
    </row>
    <row r="80" spans="1:22" ht="15" customHeight="1" x14ac:dyDescent="0.3">
      <c r="A80" s="56">
        <f t="shared" si="14"/>
        <v>85.98</v>
      </c>
      <c r="B80" s="57"/>
      <c r="C80" s="57"/>
      <c r="D80" s="57" t="s">
        <v>22</v>
      </c>
      <c r="E80" s="57" t="s">
        <v>123</v>
      </c>
      <c r="F80" s="57">
        <f t="shared" si="15"/>
        <v>204</v>
      </c>
      <c r="G80" s="57" t="s">
        <v>22</v>
      </c>
      <c r="H80" s="57">
        <f t="shared" si="16"/>
        <v>2</v>
      </c>
      <c r="I80" s="57">
        <v>1</v>
      </c>
      <c r="J80" s="61" t="s">
        <v>134</v>
      </c>
      <c r="K80" s="59">
        <v>79101.600000000006</v>
      </c>
      <c r="L80" s="59">
        <v>500</v>
      </c>
      <c r="M80" s="59">
        <v>3455.0800000000004</v>
      </c>
      <c r="N80" s="60">
        <f t="shared" si="11"/>
        <v>11865.24</v>
      </c>
      <c r="O80" s="59">
        <f t="shared" si="12"/>
        <v>494.38499999999999</v>
      </c>
      <c r="P80" s="72">
        <f t="shared" si="13"/>
        <v>63281.280000000006</v>
      </c>
      <c r="Q80" s="108" t="s">
        <v>25</v>
      </c>
      <c r="R80" s="67" t="s">
        <v>30</v>
      </c>
      <c r="S80" s="68">
        <v>46111</v>
      </c>
      <c r="T80" s="119">
        <v>46142</v>
      </c>
      <c r="U80" s="114"/>
      <c r="V80" s="120" t="s">
        <v>88</v>
      </c>
    </row>
    <row r="81" spans="1:22" ht="15" customHeight="1" x14ac:dyDescent="0.3">
      <c r="A81" s="56">
        <f t="shared" si="14"/>
        <v>82.09</v>
      </c>
      <c r="B81" s="57"/>
      <c r="C81" s="57"/>
      <c r="D81" s="57" t="s">
        <v>22</v>
      </c>
      <c r="E81" s="57" t="s">
        <v>123</v>
      </c>
      <c r="F81" s="57">
        <f t="shared" si="15"/>
        <v>301</v>
      </c>
      <c r="G81" s="57" t="s">
        <v>22</v>
      </c>
      <c r="H81" s="57">
        <f t="shared" si="16"/>
        <v>3</v>
      </c>
      <c r="I81" s="57">
        <v>1</v>
      </c>
      <c r="J81" s="61" t="s">
        <v>135</v>
      </c>
      <c r="K81" s="59">
        <v>71418.3</v>
      </c>
      <c r="L81" s="59">
        <v>500</v>
      </c>
      <c r="M81" s="59">
        <v>3070.9150000000004</v>
      </c>
      <c r="N81" s="60">
        <f t="shared" si="11"/>
        <v>10712.745000000001</v>
      </c>
      <c r="O81" s="59">
        <f t="shared" si="12"/>
        <v>446.36437500000005</v>
      </c>
      <c r="P81" s="72">
        <f t="shared" si="13"/>
        <v>57134.640000000007</v>
      </c>
      <c r="Q81" s="108" t="s">
        <v>25</v>
      </c>
      <c r="R81" s="116" t="s">
        <v>30</v>
      </c>
      <c r="S81" s="68">
        <v>46127</v>
      </c>
      <c r="T81" s="128">
        <v>46157</v>
      </c>
      <c r="U81" s="114"/>
      <c r="V81" s="120" t="s">
        <v>136</v>
      </c>
    </row>
    <row r="82" spans="1:22" ht="15" customHeight="1" x14ac:dyDescent="0.3">
      <c r="A82" s="56">
        <f t="shared" si="14"/>
        <v>82.09</v>
      </c>
      <c r="B82" s="57"/>
      <c r="C82" s="57"/>
      <c r="D82" s="57" t="s">
        <v>22</v>
      </c>
      <c r="E82" s="57" t="s">
        <v>123</v>
      </c>
      <c r="F82" s="57">
        <f t="shared" si="15"/>
        <v>302</v>
      </c>
      <c r="G82" s="57" t="s">
        <v>22</v>
      </c>
      <c r="H82" s="57">
        <f t="shared" si="16"/>
        <v>3</v>
      </c>
      <c r="I82" s="57">
        <v>1</v>
      </c>
      <c r="J82" s="61" t="s">
        <v>137</v>
      </c>
      <c r="K82" s="59">
        <v>71418.3</v>
      </c>
      <c r="L82" s="59">
        <v>500</v>
      </c>
      <c r="M82" s="59">
        <v>3070.9150000000004</v>
      </c>
      <c r="N82" s="60">
        <f t="shared" si="11"/>
        <v>10712.745000000001</v>
      </c>
      <c r="O82" s="59">
        <f t="shared" si="12"/>
        <v>446.36437500000005</v>
      </c>
      <c r="P82" s="72">
        <f t="shared" si="13"/>
        <v>57134.640000000007</v>
      </c>
      <c r="Q82" s="108" t="s">
        <v>25</v>
      </c>
      <c r="R82" s="67" t="s">
        <v>61</v>
      </c>
      <c r="S82" s="68">
        <v>46106</v>
      </c>
      <c r="T82" s="119">
        <v>46137</v>
      </c>
      <c r="U82" s="114"/>
      <c r="V82" s="120" t="s">
        <v>138</v>
      </c>
    </row>
    <row r="83" spans="1:22" ht="15" customHeight="1" x14ac:dyDescent="0.3">
      <c r="A83" s="56">
        <f t="shared" si="14"/>
        <v>85.98</v>
      </c>
      <c r="B83" s="57"/>
      <c r="C83" s="57"/>
      <c r="D83" s="57" t="s">
        <v>22</v>
      </c>
      <c r="E83" s="57" t="s">
        <v>123</v>
      </c>
      <c r="F83" s="57">
        <f t="shared" si="15"/>
        <v>303</v>
      </c>
      <c r="G83" s="57" t="s">
        <v>22</v>
      </c>
      <c r="H83" s="57">
        <f t="shared" si="16"/>
        <v>3</v>
      </c>
      <c r="I83" s="57">
        <v>1</v>
      </c>
      <c r="J83" s="87" t="s">
        <v>139</v>
      </c>
      <c r="K83" s="59">
        <v>74802.600000000006</v>
      </c>
      <c r="L83" s="59">
        <v>500</v>
      </c>
      <c r="M83" s="59">
        <v>3240.1300000000006</v>
      </c>
      <c r="N83" s="60">
        <f t="shared" si="11"/>
        <v>11220.390000000001</v>
      </c>
      <c r="O83" s="59">
        <f t="shared" si="12"/>
        <v>467.51625000000007</v>
      </c>
      <c r="P83" s="72">
        <f t="shared" si="13"/>
        <v>59842.080000000002</v>
      </c>
      <c r="Q83" s="108" t="s">
        <v>25</v>
      </c>
      <c r="R83" s="67" t="s">
        <v>50</v>
      </c>
      <c r="S83" s="68">
        <v>46121</v>
      </c>
      <c r="T83" s="128">
        <v>46151</v>
      </c>
      <c r="U83" s="114"/>
      <c r="V83" s="120" t="s">
        <v>140</v>
      </c>
    </row>
    <row r="84" spans="1:22" ht="15" customHeight="1" x14ac:dyDescent="0.3">
      <c r="A84" s="56">
        <f t="shared" si="14"/>
        <v>85.98</v>
      </c>
      <c r="B84" s="57"/>
      <c r="C84" s="57"/>
      <c r="D84" s="57" t="s">
        <v>22</v>
      </c>
      <c r="E84" s="57" t="s">
        <v>123</v>
      </c>
      <c r="F84" s="57">
        <f t="shared" si="15"/>
        <v>304</v>
      </c>
      <c r="G84" s="57" t="s">
        <v>22</v>
      </c>
      <c r="H84" s="57">
        <f t="shared" si="16"/>
        <v>3</v>
      </c>
      <c r="I84" s="57">
        <v>1</v>
      </c>
      <c r="J84" s="61" t="s">
        <v>141</v>
      </c>
      <c r="K84" s="59">
        <v>74802.600000000006</v>
      </c>
      <c r="L84" s="59">
        <v>500</v>
      </c>
      <c r="M84" s="59">
        <v>3240.1300000000006</v>
      </c>
      <c r="N84" s="60">
        <f t="shared" si="11"/>
        <v>11220.390000000001</v>
      </c>
      <c r="O84" s="59">
        <f t="shared" si="12"/>
        <v>467.51625000000007</v>
      </c>
      <c r="P84" s="72">
        <f t="shared" si="13"/>
        <v>59842.080000000002</v>
      </c>
      <c r="Q84" s="108" t="s">
        <v>25</v>
      </c>
      <c r="R84" s="116" t="s">
        <v>48</v>
      </c>
      <c r="S84" s="68">
        <v>46119</v>
      </c>
      <c r="T84" s="128">
        <v>46149</v>
      </c>
      <c r="U84" s="114"/>
      <c r="V84" s="120" t="s">
        <v>142</v>
      </c>
    </row>
    <row r="85" spans="1:22" ht="15" customHeight="1" x14ac:dyDescent="0.3">
      <c r="A85" s="56">
        <f t="shared" si="14"/>
        <v>82.09</v>
      </c>
      <c r="B85" s="57">
        <v>46.1</v>
      </c>
      <c r="C85" s="57"/>
      <c r="D85" s="57" t="s">
        <v>22</v>
      </c>
      <c r="E85" s="57" t="s">
        <v>123</v>
      </c>
      <c r="F85" s="57">
        <f t="shared" si="15"/>
        <v>401</v>
      </c>
      <c r="G85" s="57" t="s">
        <v>22</v>
      </c>
      <c r="H85" s="57">
        <f t="shared" si="16"/>
        <v>4</v>
      </c>
      <c r="I85" s="57">
        <v>1</v>
      </c>
      <c r="J85" s="61" t="s">
        <v>143</v>
      </c>
      <c r="K85" s="59">
        <v>81679.55</v>
      </c>
      <c r="L85" s="59">
        <v>500</v>
      </c>
      <c r="M85" s="59">
        <v>3583.9775000000004</v>
      </c>
      <c r="N85" s="60">
        <f t="shared" si="11"/>
        <v>12251.932500000001</v>
      </c>
      <c r="O85" s="59">
        <f t="shared" si="12"/>
        <v>510.49718750000005</v>
      </c>
      <c r="P85" s="72">
        <f t="shared" si="13"/>
        <v>65343.640000000007</v>
      </c>
      <c r="Q85" s="108" t="s">
        <v>25</v>
      </c>
      <c r="R85" s="67" t="s">
        <v>30</v>
      </c>
      <c r="S85" s="117">
        <v>46113</v>
      </c>
      <c r="T85" s="68">
        <v>46143</v>
      </c>
      <c r="U85" s="117"/>
      <c r="V85" s="120" t="s">
        <v>144</v>
      </c>
    </row>
    <row r="86" spans="1:22" ht="15" customHeight="1" x14ac:dyDescent="0.3">
      <c r="A86" s="56">
        <f t="shared" si="14"/>
        <v>82.09</v>
      </c>
      <c r="B86" s="57">
        <v>46.1</v>
      </c>
      <c r="C86" s="57"/>
      <c r="D86" s="57" t="s">
        <v>22</v>
      </c>
      <c r="E86" s="57" t="s">
        <v>123</v>
      </c>
      <c r="F86" s="57">
        <f t="shared" si="15"/>
        <v>402</v>
      </c>
      <c r="G86" s="57" t="s">
        <v>22</v>
      </c>
      <c r="H86" s="57">
        <f t="shared" si="16"/>
        <v>4</v>
      </c>
      <c r="I86" s="57">
        <v>1</v>
      </c>
      <c r="J86" s="61" t="s">
        <v>145</v>
      </c>
      <c r="K86" s="59">
        <v>81679.55</v>
      </c>
      <c r="L86" s="59">
        <v>500</v>
      </c>
      <c r="M86" s="59">
        <v>3583.9775000000004</v>
      </c>
      <c r="N86" s="60">
        <f t="shared" si="11"/>
        <v>12251.932500000001</v>
      </c>
      <c r="O86" s="59">
        <f t="shared" si="12"/>
        <v>510.49718750000005</v>
      </c>
      <c r="P86" s="72">
        <f t="shared" si="13"/>
        <v>65343.640000000007</v>
      </c>
      <c r="Q86" s="108" t="s">
        <v>25</v>
      </c>
      <c r="R86" s="67" t="s">
        <v>30</v>
      </c>
      <c r="S86" s="117">
        <v>46113</v>
      </c>
      <c r="T86" s="68">
        <v>46143</v>
      </c>
      <c r="U86" s="117"/>
      <c r="V86" s="120" t="s">
        <v>144</v>
      </c>
    </row>
    <row r="87" spans="1:22" ht="15" customHeight="1" x14ac:dyDescent="0.3">
      <c r="A87" s="56">
        <f t="shared" si="14"/>
        <v>85.98</v>
      </c>
      <c r="B87" s="57">
        <v>48.6</v>
      </c>
      <c r="C87" s="57"/>
      <c r="D87" s="57" t="s">
        <v>22</v>
      </c>
      <c r="E87" s="57" t="s">
        <v>123</v>
      </c>
      <c r="F87" s="57">
        <f t="shared" si="15"/>
        <v>403</v>
      </c>
      <c r="G87" s="57" t="s">
        <v>22</v>
      </c>
      <c r="H87" s="57">
        <f t="shared" si="16"/>
        <v>4</v>
      </c>
      <c r="I87" s="57">
        <v>1</v>
      </c>
      <c r="J87" s="61" t="s">
        <v>146</v>
      </c>
      <c r="K87" s="59">
        <v>85550.1</v>
      </c>
      <c r="L87" s="59">
        <v>500</v>
      </c>
      <c r="M87" s="59">
        <v>3777.5050000000001</v>
      </c>
      <c r="N87" s="60">
        <f t="shared" si="11"/>
        <v>12832.515000000001</v>
      </c>
      <c r="O87" s="59">
        <f t="shared" si="12"/>
        <v>534.68812500000001</v>
      </c>
      <c r="P87" s="72">
        <f t="shared" si="13"/>
        <v>68440.08</v>
      </c>
      <c r="Q87" s="108" t="s">
        <v>25</v>
      </c>
      <c r="R87" s="67" t="s">
        <v>30</v>
      </c>
      <c r="S87" s="68">
        <v>46122</v>
      </c>
      <c r="T87" s="68">
        <v>46152</v>
      </c>
      <c r="U87" s="117"/>
      <c r="V87" s="120" t="s">
        <v>147</v>
      </c>
    </row>
    <row r="88" spans="1:22" ht="15" customHeight="1" x14ac:dyDescent="0.3">
      <c r="A88" s="62">
        <f t="shared" si="14"/>
        <v>85.98</v>
      </c>
      <c r="B88" s="63">
        <v>48.6</v>
      </c>
      <c r="C88" s="63"/>
      <c r="D88" s="63" t="s">
        <v>22</v>
      </c>
      <c r="E88" s="63" t="s">
        <v>123</v>
      </c>
      <c r="F88" s="63">
        <f t="shared" si="15"/>
        <v>404</v>
      </c>
      <c r="G88" s="63" t="s">
        <v>22</v>
      </c>
      <c r="H88" s="63">
        <f t="shared" si="16"/>
        <v>4</v>
      </c>
      <c r="I88" s="63">
        <v>1</v>
      </c>
      <c r="J88" s="97"/>
      <c r="K88" s="65">
        <v>85550.1</v>
      </c>
      <c r="L88" s="65">
        <v>500</v>
      </c>
      <c r="M88" s="65">
        <v>3777.5050000000001</v>
      </c>
      <c r="N88" s="66">
        <f t="shared" si="11"/>
        <v>12832.515000000001</v>
      </c>
      <c r="O88" s="65">
        <f t="shared" si="12"/>
        <v>534.68812500000001</v>
      </c>
      <c r="P88" s="73">
        <f t="shared" si="13"/>
        <v>68440.08</v>
      </c>
      <c r="Q88" s="108" t="s">
        <v>44</v>
      </c>
      <c r="R88" s="67" t="s">
        <v>148</v>
      </c>
      <c r="S88" s="68">
        <v>46132</v>
      </c>
      <c r="T88" s="68">
        <v>46134</v>
      </c>
      <c r="U88" s="117"/>
      <c r="V88" s="67" t="s">
        <v>149</v>
      </c>
    </row>
    <row r="89" spans="1:22" ht="15" customHeight="1" x14ac:dyDescent="0.3">
      <c r="A89" s="52">
        <v>82.09</v>
      </c>
      <c r="B89" s="53"/>
      <c r="C89" s="53"/>
      <c r="D89" s="53" t="s">
        <v>22</v>
      </c>
      <c r="E89" s="53" t="s">
        <v>150</v>
      </c>
      <c r="F89" s="53">
        <v>101</v>
      </c>
      <c r="G89" s="53" t="s">
        <v>22</v>
      </c>
      <c r="H89" s="53">
        <v>1</v>
      </c>
      <c r="I89" s="53">
        <v>1</v>
      </c>
      <c r="J89" s="69" t="s">
        <v>151</v>
      </c>
      <c r="K89" s="54">
        <v>75933.25</v>
      </c>
      <c r="L89" s="54">
        <v>500</v>
      </c>
      <c r="M89" s="54">
        <v>3296.6625000000004</v>
      </c>
      <c r="N89" s="55">
        <f t="shared" ref="N89:N136" si="17">+K89*15%</f>
        <v>11389.987499999999</v>
      </c>
      <c r="O89" s="54">
        <f t="shared" ref="O89:O136" si="18">+N89/24</f>
        <v>474.58281249999999</v>
      </c>
      <c r="P89" s="79">
        <f t="shared" ref="P89:P136" si="19">+K89-L89-M89-N89</f>
        <v>60746.599999999991</v>
      </c>
      <c r="Q89" s="108" t="s">
        <v>25</v>
      </c>
      <c r="R89" s="67" t="s">
        <v>61</v>
      </c>
      <c r="S89" s="68">
        <v>46104</v>
      </c>
      <c r="T89" s="133">
        <v>46135</v>
      </c>
      <c r="U89" s="134"/>
      <c r="V89" s="120" t="s">
        <v>76</v>
      </c>
    </row>
    <row r="90" spans="1:22" ht="15" customHeight="1" x14ac:dyDescent="0.3">
      <c r="A90" s="56">
        <v>82.09</v>
      </c>
      <c r="B90" s="57"/>
      <c r="C90" s="57"/>
      <c r="D90" s="57" t="s">
        <v>22</v>
      </c>
      <c r="E90" s="57" t="s">
        <v>150</v>
      </c>
      <c r="F90" s="57">
        <v>102</v>
      </c>
      <c r="G90" s="57" t="s">
        <v>22</v>
      </c>
      <c r="H90" s="57">
        <v>1</v>
      </c>
      <c r="I90" s="57">
        <v>1</v>
      </c>
      <c r="J90" s="61" t="s">
        <v>152</v>
      </c>
      <c r="K90" s="59">
        <v>75933.25</v>
      </c>
      <c r="L90" s="59">
        <v>500</v>
      </c>
      <c r="M90" s="59">
        <v>3296.6625000000004</v>
      </c>
      <c r="N90" s="60">
        <f t="shared" si="17"/>
        <v>11389.987499999999</v>
      </c>
      <c r="O90" s="59">
        <f t="shared" si="18"/>
        <v>474.58281249999999</v>
      </c>
      <c r="P90" s="80">
        <f t="shared" si="19"/>
        <v>60746.599999999991</v>
      </c>
      <c r="Q90" s="108" t="s">
        <v>25</v>
      </c>
      <c r="R90" s="67" t="s">
        <v>26</v>
      </c>
      <c r="S90" s="68">
        <v>46102</v>
      </c>
      <c r="T90" s="132">
        <v>46133</v>
      </c>
      <c r="U90" s="117"/>
      <c r="V90" s="120" t="s">
        <v>153</v>
      </c>
    </row>
    <row r="91" spans="1:22" ht="15" customHeight="1" x14ac:dyDescent="0.3">
      <c r="A91" s="56">
        <v>85.98</v>
      </c>
      <c r="B91" s="57"/>
      <c r="C91" s="57"/>
      <c r="D91" s="57" t="s">
        <v>22</v>
      </c>
      <c r="E91" s="57" t="s">
        <v>150</v>
      </c>
      <c r="F91" s="57">
        <v>103</v>
      </c>
      <c r="G91" s="57" t="s">
        <v>22</v>
      </c>
      <c r="H91" s="57">
        <v>1</v>
      </c>
      <c r="I91" s="57">
        <v>1</v>
      </c>
      <c r="J91" s="61" t="s">
        <v>154</v>
      </c>
      <c r="K91" s="59">
        <v>79531.5</v>
      </c>
      <c r="L91" s="59">
        <v>500</v>
      </c>
      <c r="M91" s="59">
        <v>3476.5750000000003</v>
      </c>
      <c r="N91" s="60">
        <f t="shared" si="17"/>
        <v>11929.725</v>
      </c>
      <c r="O91" s="59">
        <f t="shared" si="18"/>
        <v>497.07187500000003</v>
      </c>
      <c r="P91" s="80">
        <f t="shared" si="19"/>
        <v>63625.200000000004</v>
      </c>
      <c r="Q91" s="108" t="s">
        <v>25</v>
      </c>
      <c r="R91" s="67" t="s">
        <v>30</v>
      </c>
      <c r="S91" s="68">
        <v>46119</v>
      </c>
      <c r="T91" s="130">
        <v>46149</v>
      </c>
      <c r="U91" s="117"/>
      <c r="V91" s="115" t="s">
        <v>31</v>
      </c>
    </row>
    <row r="92" spans="1:22" ht="15" customHeight="1" x14ac:dyDescent="0.3">
      <c r="A92" s="56">
        <v>85.98</v>
      </c>
      <c r="B92" s="57"/>
      <c r="C92" s="57"/>
      <c r="D92" s="57" t="s">
        <v>22</v>
      </c>
      <c r="E92" s="57" t="s">
        <v>150</v>
      </c>
      <c r="F92" s="57">
        <v>104</v>
      </c>
      <c r="G92" s="57" t="s">
        <v>22</v>
      </c>
      <c r="H92" s="57">
        <v>1</v>
      </c>
      <c r="I92" s="57">
        <v>1</v>
      </c>
      <c r="J92" s="58"/>
      <c r="K92" s="59">
        <v>79531.5</v>
      </c>
      <c r="L92" s="59">
        <v>500</v>
      </c>
      <c r="M92" s="59">
        <v>3476.5750000000003</v>
      </c>
      <c r="N92" s="60">
        <f t="shared" si="17"/>
        <v>11929.725</v>
      </c>
      <c r="O92" s="59">
        <f t="shared" si="18"/>
        <v>497.07187500000003</v>
      </c>
      <c r="P92" s="80">
        <f t="shared" si="19"/>
        <v>63625.200000000004</v>
      </c>
      <c r="Q92" s="108" t="s">
        <v>33</v>
      </c>
      <c r="R92" s="67"/>
      <c r="S92" s="68"/>
      <c r="T92" s="68"/>
      <c r="U92" s="117"/>
      <c r="V92" s="67"/>
    </row>
    <row r="93" spans="1:22" ht="15" customHeight="1" x14ac:dyDescent="0.3">
      <c r="A93" s="56">
        <f>A90</f>
        <v>82.09</v>
      </c>
      <c r="B93" s="57"/>
      <c r="C93" s="57"/>
      <c r="D93" s="57" t="s">
        <v>22</v>
      </c>
      <c r="E93" s="57" t="s">
        <v>150</v>
      </c>
      <c r="F93" s="57">
        <f>F90+100</f>
        <v>202</v>
      </c>
      <c r="G93" s="57" t="s">
        <v>22</v>
      </c>
      <c r="H93" s="57">
        <f>H90+1</f>
        <v>2</v>
      </c>
      <c r="I93" s="57">
        <v>1</v>
      </c>
      <c r="J93" s="61" t="s">
        <v>155</v>
      </c>
      <c r="K93" s="59">
        <v>75522.8</v>
      </c>
      <c r="L93" s="59">
        <v>500</v>
      </c>
      <c r="M93" s="59">
        <v>3276.1400000000003</v>
      </c>
      <c r="N93" s="60">
        <f t="shared" si="17"/>
        <v>11328.42</v>
      </c>
      <c r="O93" s="59">
        <f t="shared" si="18"/>
        <v>472.01749999999998</v>
      </c>
      <c r="P93" s="80">
        <f t="shared" si="19"/>
        <v>60418.240000000005</v>
      </c>
      <c r="Q93" s="108" t="s">
        <v>25</v>
      </c>
      <c r="R93" s="67" t="s">
        <v>30</v>
      </c>
      <c r="S93" s="68">
        <v>46120</v>
      </c>
      <c r="T93" s="68">
        <v>46150</v>
      </c>
      <c r="U93" s="117"/>
      <c r="V93" s="120" t="s">
        <v>147</v>
      </c>
    </row>
    <row r="94" spans="1:22" ht="15" customHeight="1" x14ac:dyDescent="0.3">
      <c r="A94" s="56">
        <f>A89</f>
        <v>82.09</v>
      </c>
      <c r="B94" s="57"/>
      <c r="C94" s="57"/>
      <c r="D94" s="57" t="s">
        <v>22</v>
      </c>
      <c r="E94" s="57" t="s">
        <v>150</v>
      </c>
      <c r="F94" s="57">
        <f>F89+100</f>
        <v>201</v>
      </c>
      <c r="G94" s="57" t="s">
        <v>22</v>
      </c>
      <c r="H94" s="57">
        <f>H89+1</f>
        <v>2</v>
      </c>
      <c r="I94" s="57">
        <v>1</v>
      </c>
      <c r="J94" s="69" t="s">
        <v>156</v>
      </c>
      <c r="K94" s="59">
        <v>75522.8</v>
      </c>
      <c r="L94" s="59">
        <v>500</v>
      </c>
      <c r="M94" s="59">
        <v>3276.1400000000003</v>
      </c>
      <c r="N94" s="60">
        <f>+K94*15%</f>
        <v>11328.42</v>
      </c>
      <c r="O94" s="59">
        <f>+N94/24</f>
        <v>472.01749999999998</v>
      </c>
      <c r="P94" s="80">
        <f>+K94-L94-M94-N94</f>
        <v>60418.240000000005</v>
      </c>
      <c r="Q94" s="108" t="s">
        <v>25</v>
      </c>
      <c r="R94" s="67" t="s">
        <v>61</v>
      </c>
      <c r="S94" s="68">
        <v>46100</v>
      </c>
      <c r="T94" s="132">
        <v>46131</v>
      </c>
      <c r="U94" s="117"/>
      <c r="V94" s="120" t="s">
        <v>157</v>
      </c>
    </row>
    <row r="95" spans="1:22" ht="15" customHeight="1" x14ac:dyDescent="0.3">
      <c r="A95" s="56">
        <f>A91</f>
        <v>85.98</v>
      </c>
      <c r="B95" s="57"/>
      <c r="C95" s="57"/>
      <c r="D95" s="57" t="s">
        <v>22</v>
      </c>
      <c r="E95" s="57" t="s">
        <v>150</v>
      </c>
      <c r="F95" s="57">
        <f>F91+100</f>
        <v>203</v>
      </c>
      <c r="G95" s="57" t="s">
        <v>22</v>
      </c>
      <c r="H95" s="57">
        <f>H91+1</f>
        <v>2</v>
      </c>
      <c r="I95" s="57">
        <v>1</v>
      </c>
      <c r="J95" s="61" t="s">
        <v>158</v>
      </c>
      <c r="K95" s="59">
        <v>79101.600000000006</v>
      </c>
      <c r="L95" s="59">
        <v>500</v>
      </c>
      <c r="M95" s="59">
        <v>3455.0800000000004</v>
      </c>
      <c r="N95" s="60">
        <f t="shared" si="17"/>
        <v>11865.24</v>
      </c>
      <c r="O95" s="59">
        <f t="shared" si="18"/>
        <v>494.38499999999999</v>
      </c>
      <c r="P95" s="80">
        <f t="shared" si="19"/>
        <v>63281.280000000006</v>
      </c>
      <c r="Q95" s="108" t="s">
        <v>25</v>
      </c>
      <c r="R95" s="67" t="s">
        <v>30</v>
      </c>
      <c r="S95" s="68">
        <v>46112</v>
      </c>
      <c r="T95" s="132">
        <v>46142</v>
      </c>
      <c r="U95" s="117"/>
      <c r="V95" s="120" t="s">
        <v>88</v>
      </c>
    </row>
    <row r="96" spans="1:22" ht="15" customHeight="1" x14ac:dyDescent="0.3">
      <c r="A96" s="56">
        <f>A92</f>
        <v>85.98</v>
      </c>
      <c r="B96" s="57"/>
      <c r="C96" s="57"/>
      <c r="D96" s="57" t="s">
        <v>22</v>
      </c>
      <c r="E96" s="57" t="s">
        <v>150</v>
      </c>
      <c r="F96" s="57">
        <f>F92+100</f>
        <v>204</v>
      </c>
      <c r="G96" s="57" t="s">
        <v>22</v>
      </c>
      <c r="H96" s="57">
        <f>H92+1</f>
        <v>2</v>
      </c>
      <c r="I96" s="57">
        <v>1</v>
      </c>
      <c r="J96" s="61" t="s">
        <v>159</v>
      </c>
      <c r="K96" s="59">
        <v>79101.600000000006</v>
      </c>
      <c r="L96" s="59">
        <v>500</v>
      </c>
      <c r="M96" s="59">
        <v>3455.0800000000004</v>
      </c>
      <c r="N96" s="60">
        <f t="shared" si="17"/>
        <v>11865.24</v>
      </c>
      <c r="O96" s="59">
        <f t="shared" si="18"/>
        <v>494.38499999999999</v>
      </c>
      <c r="P96" s="80">
        <f t="shared" si="19"/>
        <v>63281.280000000006</v>
      </c>
      <c r="Q96" s="108" t="s">
        <v>25</v>
      </c>
      <c r="R96" s="67" t="s">
        <v>50</v>
      </c>
      <c r="S96" s="68">
        <v>46121</v>
      </c>
      <c r="T96" s="68">
        <v>46151</v>
      </c>
      <c r="U96" s="117"/>
      <c r="V96" s="120" t="s">
        <v>160</v>
      </c>
    </row>
    <row r="97" spans="1:22" ht="15" customHeight="1" x14ac:dyDescent="0.3">
      <c r="A97" s="56">
        <f>A94</f>
        <v>82.09</v>
      </c>
      <c r="B97" s="57"/>
      <c r="C97" s="57"/>
      <c r="D97" s="57" t="s">
        <v>22</v>
      </c>
      <c r="E97" s="57" t="s">
        <v>150</v>
      </c>
      <c r="F97" s="57">
        <f>F94+100</f>
        <v>301</v>
      </c>
      <c r="G97" s="57" t="s">
        <v>22</v>
      </c>
      <c r="H97" s="57">
        <f>H94+1</f>
        <v>3</v>
      </c>
      <c r="I97" s="57">
        <v>1</v>
      </c>
      <c r="J97" s="69" t="s">
        <v>161</v>
      </c>
      <c r="K97" s="59">
        <v>71418.3</v>
      </c>
      <c r="L97" s="59">
        <v>500</v>
      </c>
      <c r="M97" s="59">
        <v>3070.9150000000004</v>
      </c>
      <c r="N97" s="60">
        <f t="shared" si="17"/>
        <v>10712.745000000001</v>
      </c>
      <c r="O97" s="59">
        <f t="shared" si="18"/>
        <v>446.36437500000005</v>
      </c>
      <c r="P97" s="80">
        <f t="shared" si="19"/>
        <v>57134.640000000007</v>
      </c>
      <c r="Q97" s="108" t="s">
        <v>25</v>
      </c>
      <c r="R97" s="67" t="s">
        <v>26</v>
      </c>
      <c r="S97" s="68">
        <v>46101</v>
      </c>
      <c r="T97" s="132">
        <v>46132</v>
      </c>
      <c r="U97" s="117"/>
      <c r="V97" s="67" t="s">
        <v>153</v>
      </c>
    </row>
    <row r="98" spans="1:22" ht="15" customHeight="1" x14ac:dyDescent="0.3">
      <c r="A98" s="56">
        <f>A93</f>
        <v>82.09</v>
      </c>
      <c r="B98" s="57"/>
      <c r="C98" s="57"/>
      <c r="D98" s="57" t="s">
        <v>22</v>
      </c>
      <c r="E98" s="57" t="s">
        <v>150</v>
      </c>
      <c r="F98" s="57">
        <f>F93+100</f>
        <v>302</v>
      </c>
      <c r="G98" s="57" t="s">
        <v>22</v>
      </c>
      <c r="H98" s="57">
        <f>H93+1</f>
        <v>3</v>
      </c>
      <c r="I98" s="57">
        <v>1</v>
      </c>
      <c r="J98" s="61" t="s">
        <v>162</v>
      </c>
      <c r="K98" s="59">
        <v>71418.3</v>
      </c>
      <c r="L98" s="59">
        <v>500</v>
      </c>
      <c r="M98" s="59">
        <v>3070.9150000000004</v>
      </c>
      <c r="N98" s="60">
        <f t="shared" si="17"/>
        <v>10712.745000000001</v>
      </c>
      <c r="O98" s="59">
        <f t="shared" si="18"/>
        <v>446.36437500000005</v>
      </c>
      <c r="P98" s="80">
        <f t="shared" si="19"/>
        <v>57134.640000000007</v>
      </c>
      <c r="Q98" s="108" t="s">
        <v>25</v>
      </c>
      <c r="R98" s="67" t="s">
        <v>163</v>
      </c>
      <c r="S98" s="68">
        <v>46113</v>
      </c>
      <c r="T98" s="130">
        <v>46143</v>
      </c>
      <c r="U98" s="117"/>
      <c r="V98" s="115" t="s">
        <v>31</v>
      </c>
    </row>
    <row r="99" spans="1:22" ht="15" customHeight="1" x14ac:dyDescent="0.3">
      <c r="A99" s="56">
        <f>A95</f>
        <v>85.98</v>
      </c>
      <c r="B99" s="57"/>
      <c r="C99" s="57"/>
      <c r="D99" s="57" t="s">
        <v>22</v>
      </c>
      <c r="E99" s="57" t="s">
        <v>150</v>
      </c>
      <c r="F99" s="57">
        <f>F95+100</f>
        <v>303</v>
      </c>
      <c r="G99" s="57" t="s">
        <v>22</v>
      </c>
      <c r="H99" s="57">
        <f>H95+1</f>
        <v>3</v>
      </c>
      <c r="I99" s="57">
        <v>1</v>
      </c>
      <c r="J99" s="61" t="s">
        <v>164</v>
      </c>
      <c r="K99" s="59">
        <v>74802.600000000006</v>
      </c>
      <c r="L99" s="59">
        <v>500</v>
      </c>
      <c r="M99" s="59">
        <v>3240.1300000000006</v>
      </c>
      <c r="N99" s="60">
        <f t="shared" si="17"/>
        <v>11220.390000000001</v>
      </c>
      <c r="O99" s="59">
        <f t="shared" si="18"/>
        <v>467.51625000000007</v>
      </c>
      <c r="P99" s="80">
        <f t="shared" si="19"/>
        <v>59842.080000000002</v>
      </c>
      <c r="Q99" s="108" t="s">
        <v>25</v>
      </c>
      <c r="R99" s="67" t="s">
        <v>48</v>
      </c>
      <c r="S99" s="68">
        <v>46114</v>
      </c>
      <c r="T99" s="68">
        <v>46144</v>
      </c>
      <c r="U99" s="117"/>
      <c r="V99" s="120" t="s">
        <v>165</v>
      </c>
    </row>
    <row r="100" spans="1:22" ht="15" customHeight="1" x14ac:dyDescent="0.3">
      <c r="A100" s="56">
        <f>A96</f>
        <v>85.98</v>
      </c>
      <c r="B100" s="57"/>
      <c r="C100" s="57"/>
      <c r="D100" s="57" t="s">
        <v>22</v>
      </c>
      <c r="E100" s="57" t="s">
        <v>150</v>
      </c>
      <c r="F100" s="57">
        <f>F96+100</f>
        <v>304</v>
      </c>
      <c r="G100" s="57" t="s">
        <v>22</v>
      </c>
      <c r="H100" s="57">
        <f>H96+1</f>
        <v>3</v>
      </c>
      <c r="I100" s="57">
        <v>1</v>
      </c>
      <c r="J100" s="58"/>
      <c r="K100" s="59">
        <v>74802.600000000006</v>
      </c>
      <c r="L100" s="59">
        <v>500</v>
      </c>
      <c r="M100" s="59">
        <v>3240.1300000000006</v>
      </c>
      <c r="N100" s="60">
        <f t="shared" si="17"/>
        <v>11220.390000000001</v>
      </c>
      <c r="O100" s="59">
        <f t="shared" si="18"/>
        <v>467.51625000000007</v>
      </c>
      <c r="P100" s="80">
        <f t="shared" si="19"/>
        <v>59842.080000000002</v>
      </c>
      <c r="Q100" s="108" t="s">
        <v>44</v>
      </c>
      <c r="R100" s="67" t="s">
        <v>26</v>
      </c>
      <c r="S100" s="68">
        <v>46130</v>
      </c>
      <c r="T100" s="68">
        <v>46132</v>
      </c>
      <c r="U100" s="117"/>
      <c r="V100" s="67" t="s">
        <v>57</v>
      </c>
    </row>
    <row r="101" spans="1:22" ht="15" customHeight="1" x14ac:dyDescent="0.3">
      <c r="A101" s="56">
        <f>A97</f>
        <v>82.09</v>
      </c>
      <c r="B101" s="57">
        <v>46.1</v>
      </c>
      <c r="C101" s="57"/>
      <c r="D101" s="57" t="s">
        <v>22</v>
      </c>
      <c r="E101" s="57" t="s">
        <v>150</v>
      </c>
      <c r="F101" s="57">
        <f>F97+100</f>
        <v>401</v>
      </c>
      <c r="G101" s="57" t="s">
        <v>22</v>
      </c>
      <c r="H101" s="57">
        <f>H97+1</f>
        <v>4</v>
      </c>
      <c r="I101" s="57">
        <v>1</v>
      </c>
      <c r="J101" s="61" t="s">
        <v>166</v>
      </c>
      <c r="K101" s="59">
        <v>81679.55</v>
      </c>
      <c r="L101" s="59">
        <v>500</v>
      </c>
      <c r="M101" s="59">
        <v>3583.9775000000004</v>
      </c>
      <c r="N101" s="60">
        <f t="shared" si="17"/>
        <v>12251.932500000001</v>
      </c>
      <c r="O101" s="59">
        <f t="shared" si="18"/>
        <v>510.49718750000005</v>
      </c>
      <c r="P101" s="80">
        <f t="shared" si="19"/>
        <v>65343.640000000007</v>
      </c>
      <c r="Q101" s="108" t="s">
        <v>25</v>
      </c>
      <c r="R101" s="67" t="s">
        <v>30</v>
      </c>
      <c r="S101" s="68">
        <v>46132</v>
      </c>
      <c r="T101" s="68">
        <v>46162</v>
      </c>
      <c r="U101" s="117"/>
      <c r="V101" s="120" t="s">
        <v>167</v>
      </c>
    </row>
    <row r="102" spans="1:22" ht="15" customHeight="1" x14ac:dyDescent="0.3">
      <c r="A102" s="56">
        <f t="shared" ref="A102:A104" si="20">A98</f>
        <v>82.09</v>
      </c>
      <c r="B102" s="57">
        <v>46.1</v>
      </c>
      <c r="C102" s="57"/>
      <c r="D102" s="57" t="s">
        <v>22</v>
      </c>
      <c r="E102" s="57" t="s">
        <v>150</v>
      </c>
      <c r="F102" s="57">
        <f t="shared" ref="F102:F104" si="21">F98+100</f>
        <v>402</v>
      </c>
      <c r="G102" s="57" t="s">
        <v>22</v>
      </c>
      <c r="H102" s="57">
        <f t="shared" ref="H102:H104" si="22">H98+1</f>
        <v>4</v>
      </c>
      <c r="I102" s="57">
        <v>1</v>
      </c>
      <c r="J102" s="61" t="s">
        <v>168</v>
      </c>
      <c r="K102" s="59">
        <v>81679.55</v>
      </c>
      <c r="L102" s="59">
        <v>500</v>
      </c>
      <c r="M102" s="59">
        <v>3583.9775000000004</v>
      </c>
      <c r="N102" s="60">
        <f t="shared" si="17"/>
        <v>12251.932500000001</v>
      </c>
      <c r="O102" s="59">
        <f t="shared" si="18"/>
        <v>510.49718750000005</v>
      </c>
      <c r="P102" s="80">
        <f t="shared" si="19"/>
        <v>65343.640000000007</v>
      </c>
      <c r="Q102" s="108" t="s">
        <v>25</v>
      </c>
      <c r="R102" s="67" t="s">
        <v>26</v>
      </c>
      <c r="S102" s="68">
        <v>46122</v>
      </c>
      <c r="T102" s="68">
        <v>46152</v>
      </c>
      <c r="U102" s="117"/>
      <c r="V102" s="120" t="s">
        <v>169</v>
      </c>
    </row>
    <row r="103" spans="1:22" ht="15" customHeight="1" x14ac:dyDescent="0.3">
      <c r="A103" s="56">
        <f t="shared" si="20"/>
        <v>85.98</v>
      </c>
      <c r="B103" s="57">
        <v>48.6</v>
      </c>
      <c r="C103" s="57"/>
      <c r="D103" s="57" t="s">
        <v>22</v>
      </c>
      <c r="E103" s="57" t="s">
        <v>150</v>
      </c>
      <c r="F103" s="57">
        <f t="shared" si="21"/>
        <v>403</v>
      </c>
      <c r="G103" s="57" t="s">
        <v>22</v>
      </c>
      <c r="H103" s="57">
        <f t="shared" si="22"/>
        <v>4</v>
      </c>
      <c r="I103" s="57">
        <v>1</v>
      </c>
      <c r="J103" s="61" t="s">
        <v>170</v>
      </c>
      <c r="K103" s="59">
        <v>85550.1</v>
      </c>
      <c r="L103" s="59">
        <v>500</v>
      </c>
      <c r="M103" s="59">
        <v>3777.5050000000001</v>
      </c>
      <c r="N103" s="60">
        <f t="shared" si="17"/>
        <v>12832.515000000001</v>
      </c>
      <c r="O103" s="59">
        <f t="shared" si="18"/>
        <v>534.68812500000001</v>
      </c>
      <c r="P103" s="80">
        <f t="shared" si="19"/>
        <v>68440.08</v>
      </c>
      <c r="Q103" s="108" t="s">
        <v>25</v>
      </c>
      <c r="R103" s="68" t="s">
        <v>26</v>
      </c>
      <c r="S103" s="68">
        <v>46122</v>
      </c>
      <c r="T103" s="68">
        <v>46152</v>
      </c>
      <c r="U103" s="117"/>
      <c r="V103" s="120" t="s">
        <v>169</v>
      </c>
    </row>
    <row r="104" spans="1:22" ht="15" customHeight="1" x14ac:dyDescent="0.3">
      <c r="A104" s="62">
        <f t="shared" si="20"/>
        <v>85.98</v>
      </c>
      <c r="B104" s="63">
        <v>48.6</v>
      </c>
      <c r="C104" s="63"/>
      <c r="D104" s="63" t="s">
        <v>22</v>
      </c>
      <c r="E104" s="63" t="s">
        <v>150</v>
      </c>
      <c r="F104" s="63">
        <f t="shared" si="21"/>
        <v>404</v>
      </c>
      <c r="G104" s="63" t="s">
        <v>22</v>
      </c>
      <c r="H104" s="63">
        <f t="shared" si="22"/>
        <v>4</v>
      </c>
      <c r="I104" s="63">
        <v>1</v>
      </c>
      <c r="J104" s="86" t="s">
        <v>171</v>
      </c>
      <c r="K104" s="65">
        <v>85550.1</v>
      </c>
      <c r="L104" s="65">
        <v>500</v>
      </c>
      <c r="M104" s="65">
        <v>3777.5050000000001</v>
      </c>
      <c r="N104" s="66">
        <f t="shared" si="17"/>
        <v>12832.515000000001</v>
      </c>
      <c r="O104" s="65">
        <f t="shared" si="18"/>
        <v>534.68812500000001</v>
      </c>
      <c r="P104" s="81">
        <f t="shared" si="19"/>
        <v>68440.08</v>
      </c>
      <c r="Q104" s="108" t="s">
        <v>25</v>
      </c>
      <c r="R104" s="67" t="s">
        <v>30</v>
      </c>
      <c r="S104" s="68">
        <v>46120</v>
      </c>
      <c r="T104" s="68">
        <v>46150</v>
      </c>
      <c r="U104" s="117"/>
      <c r="V104" s="115" t="s">
        <v>31</v>
      </c>
    </row>
    <row r="105" spans="1:22" ht="15" customHeight="1" x14ac:dyDescent="0.3">
      <c r="A105" s="52">
        <v>61.74</v>
      </c>
      <c r="B105" s="53"/>
      <c r="C105" s="53"/>
      <c r="D105" s="53" t="s">
        <v>58</v>
      </c>
      <c r="E105" s="53" t="s">
        <v>172</v>
      </c>
      <c r="F105" s="53">
        <v>101</v>
      </c>
      <c r="G105" s="53" t="s">
        <v>80</v>
      </c>
      <c r="H105" s="53">
        <v>1</v>
      </c>
      <c r="I105" s="53">
        <v>1</v>
      </c>
      <c r="J105" s="82" t="s">
        <v>173</v>
      </c>
      <c r="K105" s="54">
        <v>62109.5</v>
      </c>
      <c r="L105" s="54">
        <v>500</v>
      </c>
      <c r="M105" s="54">
        <v>2605.4750000000004</v>
      </c>
      <c r="N105" s="55">
        <f t="shared" si="17"/>
        <v>9316.4249999999993</v>
      </c>
      <c r="O105" s="54">
        <f t="shared" si="18"/>
        <v>388.18437499999999</v>
      </c>
      <c r="P105" s="79">
        <f t="shared" si="19"/>
        <v>49687.600000000006</v>
      </c>
      <c r="Q105" s="108" t="s">
        <v>25</v>
      </c>
      <c r="R105" s="67" t="s">
        <v>26</v>
      </c>
      <c r="S105" s="68">
        <v>46095</v>
      </c>
      <c r="T105" s="130">
        <v>46128</v>
      </c>
      <c r="U105" s="117"/>
      <c r="V105" s="115" t="s">
        <v>31</v>
      </c>
    </row>
    <row r="106" spans="1:22" ht="15" customHeight="1" x14ac:dyDescent="0.3">
      <c r="A106" s="56">
        <v>61.74</v>
      </c>
      <c r="B106" s="57"/>
      <c r="C106" s="57"/>
      <c r="D106" s="57" t="s">
        <v>58</v>
      </c>
      <c r="E106" s="57" t="s">
        <v>172</v>
      </c>
      <c r="F106" s="57">
        <v>102</v>
      </c>
      <c r="G106" s="57" t="s">
        <v>80</v>
      </c>
      <c r="H106" s="57">
        <v>1</v>
      </c>
      <c r="I106" s="57">
        <v>1</v>
      </c>
      <c r="J106" s="58"/>
      <c r="K106" s="59">
        <v>62109.5</v>
      </c>
      <c r="L106" s="59">
        <v>500</v>
      </c>
      <c r="M106" s="59">
        <v>2605.4750000000004</v>
      </c>
      <c r="N106" s="60">
        <f t="shared" si="17"/>
        <v>9316.4249999999993</v>
      </c>
      <c r="O106" s="59">
        <f t="shared" si="18"/>
        <v>388.18437499999999</v>
      </c>
      <c r="P106" s="80">
        <f t="shared" si="19"/>
        <v>49687.600000000006</v>
      </c>
      <c r="Q106" s="108" t="s">
        <v>33</v>
      </c>
      <c r="R106" s="67"/>
      <c r="S106" s="68"/>
      <c r="T106" s="68"/>
      <c r="U106" s="117"/>
      <c r="V106" s="67"/>
    </row>
    <row r="107" spans="1:22" ht="15" customHeight="1" x14ac:dyDescent="0.3">
      <c r="A107" s="56">
        <v>61.74</v>
      </c>
      <c r="B107" s="57"/>
      <c r="C107" s="57"/>
      <c r="D107" s="57" t="s">
        <v>58</v>
      </c>
      <c r="E107" s="57" t="s">
        <v>172</v>
      </c>
      <c r="F107" s="57">
        <v>103</v>
      </c>
      <c r="G107" s="57" t="s">
        <v>80</v>
      </c>
      <c r="H107" s="57">
        <v>1</v>
      </c>
      <c r="I107" s="57">
        <v>1</v>
      </c>
      <c r="J107" s="58"/>
      <c r="K107" s="59">
        <v>62109.5</v>
      </c>
      <c r="L107" s="59">
        <v>500</v>
      </c>
      <c r="M107" s="59">
        <v>2605.4750000000004</v>
      </c>
      <c r="N107" s="60">
        <f t="shared" si="17"/>
        <v>9316.4249999999993</v>
      </c>
      <c r="O107" s="59">
        <f t="shared" si="18"/>
        <v>388.18437499999999</v>
      </c>
      <c r="P107" s="80">
        <f t="shared" si="19"/>
        <v>49687.600000000006</v>
      </c>
      <c r="Q107" s="108" t="s">
        <v>33</v>
      </c>
      <c r="R107" s="67"/>
      <c r="S107" s="67"/>
      <c r="T107" s="68" t="str">
        <f t="shared" ref="T107:T119" si="23">IF(S107="","",S107+2)</f>
        <v/>
      </c>
      <c r="U107" s="117"/>
      <c r="V107" s="67"/>
    </row>
    <row r="108" spans="1:22" ht="15" customHeight="1" x14ac:dyDescent="0.3">
      <c r="A108" s="56">
        <v>61.74</v>
      </c>
      <c r="B108" s="57"/>
      <c r="C108" s="57"/>
      <c r="D108" s="57" t="s">
        <v>58</v>
      </c>
      <c r="E108" s="57" t="s">
        <v>172</v>
      </c>
      <c r="F108" s="57">
        <v>104</v>
      </c>
      <c r="G108" s="57" t="s">
        <v>80</v>
      </c>
      <c r="H108" s="57">
        <v>1</v>
      </c>
      <c r="I108" s="57">
        <v>1</v>
      </c>
      <c r="J108" s="78" t="s">
        <v>174</v>
      </c>
      <c r="K108" s="59">
        <v>62109.5</v>
      </c>
      <c r="L108" s="59">
        <v>500</v>
      </c>
      <c r="M108" s="59">
        <v>2605.4750000000004</v>
      </c>
      <c r="N108" s="60">
        <f t="shared" si="17"/>
        <v>9316.4249999999993</v>
      </c>
      <c r="O108" s="59">
        <f t="shared" si="18"/>
        <v>388.18437499999999</v>
      </c>
      <c r="P108" s="80">
        <f t="shared" si="19"/>
        <v>49687.600000000006</v>
      </c>
      <c r="Q108" s="108" t="s">
        <v>25</v>
      </c>
      <c r="R108" s="67" t="s">
        <v>175</v>
      </c>
      <c r="S108" s="68">
        <v>46132</v>
      </c>
      <c r="T108" s="68">
        <v>46162</v>
      </c>
      <c r="U108" s="117"/>
      <c r="V108" s="120" t="s">
        <v>167</v>
      </c>
    </row>
    <row r="109" spans="1:22" ht="15" customHeight="1" x14ac:dyDescent="0.3">
      <c r="A109" s="56">
        <f>A105</f>
        <v>61.74</v>
      </c>
      <c r="B109" s="57"/>
      <c r="C109" s="57"/>
      <c r="D109" s="57" t="s">
        <v>58</v>
      </c>
      <c r="E109" s="57" t="s">
        <v>172</v>
      </c>
      <c r="F109" s="57">
        <f>F105+100</f>
        <v>201</v>
      </c>
      <c r="G109" s="57" t="s">
        <v>80</v>
      </c>
      <c r="H109" s="57">
        <f>H105+1</f>
        <v>2</v>
      </c>
      <c r="I109" s="57">
        <v>1</v>
      </c>
      <c r="J109" s="61" t="s">
        <v>176</v>
      </c>
      <c r="K109" s="59">
        <v>61800.800000000003</v>
      </c>
      <c r="L109" s="59">
        <v>500</v>
      </c>
      <c r="M109" s="59">
        <v>2590.0400000000004</v>
      </c>
      <c r="N109" s="60">
        <f t="shared" si="17"/>
        <v>9270.1200000000008</v>
      </c>
      <c r="O109" s="59">
        <f t="shared" si="18"/>
        <v>386.25500000000005</v>
      </c>
      <c r="P109" s="80">
        <f t="shared" si="19"/>
        <v>49440.639999999999</v>
      </c>
      <c r="Q109" s="108" t="s">
        <v>25</v>
      </c>
      <c r="R109" s="67" t="s">
        <v>30</v>
      </c>
      <c r="S109" s="68">
        <v>46105</v>
      </c>
      <c r="T109" s="132">
        <v>46136</v>
      </c>
      <c r="U109" s="117"/>
      <c r="V109" s="135" t="s">
        <v>96</v>
      </c>
    </row>
    <row r="110" spans="1:22" ht="15" customHeight="1" x14ac:dyDescent="0.3">
      <c r="A110" s="56">
        <f t="shared" ref="A110:A120" si="24">A106</f>
        <v>61.74</v>
      </c>
      <c r="B110" s="57"/>
      <c r="C110" s="57"/>
      <c r="D110" s="57" t="s">
        <v>58</v>
      </c>
      <c r="E110" s="57" t="s">
        <v>172</v>
      </c>
      <c r="F110" s="57">
        <f t="shared" ref="F110:F120" si="25">F106+100</f>
        <v>202</v>
      </c>
      <c r="G110" s="57" t="s">
        <v>80</v>
      </c>
      <c r="H110" s="57">
        <f t="shared" ref="H110:H120" si="26">H106+1</f>
        <v>2</v>
      </c>
      <c r="I110" s="57">
        <v>1</v>
      </c>
      <c r="J110" s="69" t="s">
        <v>176</v>
      </c>
      <c r="K110" s="59">
        <v>61800.800000000003</v>
      </c>
      <c r="L110" s="59">
        <v>500</v>
      </c>
      <c r="M110" s="59">
        <v>2590.0400000000004</v>
      </c>
      <c r="N110" s="60">
        <f t="shared" si="17"/>
        <v>9270.1200000000008</v>
      </c>
      <c r="O110" s="59">
        <f t="shared" si="18"/>
        <v>386.25500000000005</v>
      </c>
      <c r="P110" s="80">
        <f t="shared" si="19"/>
        <v>49440.639999999999</v>
      </c>
      <c r="Q110" s="108" t="s">
        <v>25</v>
      </c>
      <c r="R110" s="67" t="s">
        <v>30</v>
      </c>
      <c r="S110" s="68">
        <v>46101</v>
      </c>
      <c r="T110" s="136">
        <v>46132</v>
      </c>
      <c r="U110" s="117"/>
      <c r="V110" s="135" t="s">
        <v>82</v>
      </c>
    </row>
    <row r="111" spans="1:22" ht="15" customHeight="1" x14ac:dyDescent="0.3">
      <c r="A111" s="56">
        <f t="shared" si="24"/>
        <v>61.74</v>
      </c>
      <c r="B111" s="57"/>
      <c r="C111" s="57"/>
      <c r="D111" s="57" t="s">
        <v>58</v>
      </c>
      <c r="E111" s="57" t="s">
        <v>172</v>
      </c>
      <c r="F111" s="57">
        <f t="shared" si="25"/>
        <v>203</v>
      </c>
      <c r="G111" s="57" t="s">
        <v>80</v>
      </c>
      <c r="H111" s="57">
        <f t="shared" si="26"/>
        <v>2</v>
      </c>
      <c r="I111" s="57">
        <v>1</v>
      </c>
      <c r="J111" s="61" t="s">
        <v>177</v>
      </c>
      <c r="K111" s="59">
        <v>61800.800000000003</v>
      </c>
      <c r="L111" s="59">
        <v>500</v>
      </c>
      <c r="M111" s="59">
        <v>2590.0400000000004</v>
      </c>
      <c r="N111" s="60">
        <f t="shared" si="17"/>
        <v>9270.1200000000008</v>
      </c>
      <c r="O111" s="59">
        <f t="shared" si="18"/>
        <v>386.25500000000005</v>
      </c>
      <c r="P111" s="80">
        <f t="shared" si="19"/>
        <v>49440.639999999999</v>
      </c>
      <c r="Q111" s="108" t="s">
        <v>25</v>
      </c>
      <c r="R111" s="67" t="s">
        <v>26</v>
      </c>
      <c r="S111" s="68">
        <v>46129</v>
      </c>
      <c r="T111" s="68">
        <v>46159</v>
      </c>
      <c r="U111" s="117"/>
      <c r="V111" s="120" t="s">
        <v>178</v>
      </c>
    </row>
    <row r="112" spans="1:22" ht="15" customHeight="1" x14ac:dyDescent="0.3">
      <c r="A112" s="56">
        <f t="shared" si="24"/>
        <v>61.74</v>
      </c>
      <c r="B112" s="57"/>
      <c r="C112" s="57"/>
      <c r="D112" s="57" t="s">
        <v>58</v>
      </c>
      <c r="E112" s="57" t="s">
        <v>172</v>
      </c>
      <c r="F112" s="57">
        <f t="shared" si="25"/>
        <v>204</v>
      </c>
      <c r="G112" s="57" t="s">
        <v>80</v>
      </c>
      <c r="H112" s="57">
        <f t="shared" si="26"/>
        <v>2</v>
      </c>
      <c r="I112" s="57">
        <v>1</v>
      </c>
      <c r="J112" s="84" t="s">
        <v>179</v>
      </c>
      <c r="K112" s="59">
        <v>61800.800000000003</v>
      </c>
      <c r="L112" s="59">
        <v>500</v>
      </c>
      <c r="M112" s="59">
        <v>2590.0400000000004</v>
      </c>
      <c r="N112" s="60">
        <f t="shared" si="17"/>
        <v>9270.1200000000008</v>
      </c>
      <c r="O112" s="59">
        <f t="shared" si="18"/>
        <v>386.25500000000005</v>
      </c>
      <c r="P112" s="80">
        <f t="shared" si="19"/>
        <v>49440.639999999999</v>
      </c>
      <c r="Q112" s="108" t="s">
        <v>25</v>
      </c>
      <c r="R112" s="67" t="s">
        <v>26</v>
      </c>
      <c r="S112" s="68">
        <v>46130</v>
      </c>
      <c r="T112" s="68">
        <v>46160</v>
      </c>
      <c r="U112" s="117"/>
      <c r="V112" s="120" t="s">
        <v>180</v>
      </c>
    </row>
    <row r="113" spans="1:22" ht="15" customHeight="1" x14ac:dyDescent="0.3">
      <c r="A113" s="56">
        <f t="shared" si="24"/>
        <v>61.74</v>
      </c>
      <c r="B113" s="57"/>
      <c r="C113" s="57"/>
      <c r="D113" s="57" t="s">
        <v>58</v>
      </c>
      <c r="E113" s="57" t="s">
        <v>172</v>
      </c>
      <c r="F113" s="57">
        <f t="shared" si="25"/>
        <v>301</v>
      </c>
      <c r="G113" s="57" t="s">
        <v>80</v>
      </c>
      <c r="H113" s="57">
        <f t="shared" si="26"/>
        <v>3</v>
      </c>
      <c r="I113" s="57">
        <v>1</v>
      </c>
      <c r="J113" s="61" t="s">
        <v>181</v>
      </c>
      <c r="K113" s="59">
        <v>58713.8</v>
      </c>
      <c r="L113" s="59">
        <v>500</v>
      </c>
      <c r="M113" s="59">
        <v>2435.6900000000005</v>
      </c>
      <c r="N113" s="60">
        <f t="shared" si="17"/>
        <v>8807.07</v>
      </c>
      <c r="O113" s="59">
        <f t="shared" si="18"/>
        <v>366.96125000000001</v>
      </c>
      <c r="P113" s="80">
        <f t="shared" si="19"/>
        <v>46971.040000000001</v>
      </c>
      <c r="Q113" s="108" t="s">
        <v>25</v>
      </c>
      <c r="R113" s="67" t="s">
        <v>30</v>
      </c>
      <c r="S113" s="68">
        <v>46117</v>
      </c>
      <c r="T113" s="68">
        <v>46147</v>
      </c>
      <c r="U113" s="117"/>
      <c r="V113" s="120" t="s">
        <v>160</v>
      </c>
    </row>
    <row r="114" spans="1:22" ht="15" customHeight="1" x14ac:dyDescent="0.3">
      <c r="A114" s="56">
        <f t="shared" si="24"/>
        <v>61.74</v>
      </c>
      <c r="B114" s="57"/>
      <c r="C114" s="57"/>
      <c r="D114" s="57" t="s">
        <v>58</v>
      </c>
      <c r="E114" s="57" t="s">
        <v>172</v>
      </c>
      <c r="F114" s="57">
        <f t="shared" si="25"/>
        <v>302</v>
      </c>
      <c r="G114" s="57" t="s">
        <v>80</v>
      </c>
      <c r="H114" s="57">
        <f t="shared" si="26"/>
        <v>3</v>
      </c>
      <c r="I114" s="57">
        <v>1</v>
      </c>
      <c r="J114" s="69" t="s">
        <v>182</v>
      </c>
      <c r="K114" s="59">
        <v>58713.8</v>
      </c>
      <c r="L114" s="59">
        <v>500</v>
      </c>
      <c r="M114" s="59">
        <v>2435.6900000000005</v>
      </c>
      <c r="N114" s="60">
        <f t="shared" si="17"/>
        <v>8807.07</v>
      </c>
      <c r="O114" s="59">
        <f t="shared" si="18"/>
        <v>366.96125000000001</v>
      </c>
      <c r="P114" s="80">
        <f t="shared" si="19"/>
        <v>46971.040000000001</v>
      </c>
      <c r="Q114" s="108" t="s">
        <v>25</v>
      </c>
      <c r="R114" s="67" t="s">
        <v>30</v>
      </c>
      <c r="S114" s="68">
        <v>46117</v>
      </c>
      <c r="T114" s="68">
        <v>46147</v>
      </c>
      <c r="U114" s="117"/>
      <c r="V114" s="120" t="s">
        <v>160</v>
      </c>
    </row>
    <row r="115" spans="1:22" ht="15" customHeight="1" x14ac:dyDescent="0.3">
      <c r="A115" s="56">
        <f t="shared" si="24"/>
        <v>61.74</v>
      </c>
      <c r="B115" s="57"/>
      <c r="C115" s="57"/>
      <c r="D115" s="57" t="s">
        <v>58</v>
      </c>
      <c r="E115" s="57" t="s">
        <v>172</v>
      </c>
      <c r="F115" s="57">
        <f t="shared" si="25"/>
        <v>303</v>
      </c>
      <c r="G115" s="57" t="s">
        <v>80</v>
      </c>
      <c r="H115" s="57">
        <f t="shared" si="26"/>
        <v>3</v>
      </c>
      <c r="I115" s="57">
        <v>1</v>
      </c>
      <c r="J115" s="61" t="s">
        <v>183</v>
      </c>
      <c r="K115" s="59">
        <v>58713.8</v>
      </c>
      <c r="L115" s="59">
        <v>500</v>
      </c>
      <c r="M115" s="59">
        <v>2435.6900000000005</v>
      </c>
      <c r="N115" s="60">
        <f t="shared" si="17"/>
        <v>8807.07</v>
      </c>
      <c r="O115" s="59">
        <f t="shared" si="18"/>
        <v>366.96125000000001</v>
      </c>
      <c r="P115" s="80">
        <f t="shared" si="19"/>
        <v>46971.040000000001</v>
      </c>
      <c r="Q115" s="108" t="s">
        <v>25</v>
      </c>
      <c r="R115" s="67" t="s">
        <v>30</v>
      </c>
      <c r="S115" s="68">
        <v>46118</v>
      </c>
      <c r="T115" s="68">
        <v>46148</v>
      </c>
      <c r="U115" s="117"/>
      <c r="V115" s="120" t="s">
        <v>184</v>
      </c>
    </row>
    <row r="116" spans="1:22" ht="15" customHeight="1" x14ac:dyDescent="0.3">
      <c r="A116" s="56">
        <f t="shared" si="24"/>
        <v>61.74</v>
      </c>
      <c r="B116" s="57"/>
      <c r="C116" s="57"/>
      <c r="D116" s="57" t="s">
        <v>58</v>
      </c>
      <c r="E116" s="57" t="s">
        <v>172</v>
      </c>
      <c r="F116" s="57">
        <f t="shared" si="25"/>
        <v>304</v>
      </c>
      <c r="G116" s="57" t="s">
        <v>80</v>
      </c>
      <c r="H116" s="57">
        <f t="shared" si="26"/>
        <v>3</v>
      </c>
      <c r="I116" s="57">
        <v>1</v>
      </c>
      <c r="J116" s="58"/>
      <c r="K116" s="59">
        <v>58713.8</v>
      </c>
      <c r="L116" s="59">
        <v>500</v>
      </c>
      <c r="M116" s="59">
        <v>2435.6900000000005</v>
      </c>
      <c r="N116" s="60">
        <f t="shared" si="17"/>
        <v>8807.07</v>
      </c>
      <c r="O116" s="59">
        <f t="shared" si="18"/>
        <v>366.96125000000001</v>
      </c>
      <c r="P116" s="80">
        <f t="shared" si="19"/>
        <v>46971.040000000001</v>
      </c>
      <c r="Q116" s="108" t="s">
        <v>33</v>
      </c>
      <c r="R116" s="67"/>
      <c r="S116" s="67"/>
      <c r="T116" s="68" t="str">
        <f t="shared" si="23"/>
        <v/>
      </c>
      <c r="U116" s="117"/>
      <c r="V116" s="67"/>
    </row>
    <row r="117" spans="1:22" ht="15" customHeight="1" x14ac:dyDescent="0.3">
      <c r="A117" s="56">
        <f t="shared" si="24"/>
        <v>61.74</v>
      </c>
      <c r="B117" s="57">
        <v>39.770000000000003</v>
      </c>
      <c r="C117" s="57"/>
      <c r="D117" s="57" t="s">
        <v>58</v>
      </c>
      <c r="E117" s="57" t="s">
        <v>172</v>
      </c>
      <c r="F117" s="57">
        <f t="shared" si="25"/>
        <v>401</v>
      </c>
      <c r="G117" s="57" t="s">
        <v>80</v>
      </c>
      <c r="H117" s="57">
        <f t="shared" si="26"/>
        <v>4</v>
      </c>
      <c r="I117" s="57">
        <v>1</v>
      </c>
      <c r="J117" s="78"/>
      <c r="K117" s="59">
        <v>66431.3</v>
      </c>
      <c r="L117" s="59">
        <v>500</v>
      </c>
      <c r="M117" s="59">
        <v>2821.5650000000005</v>
      </c>
      <c r="N117" s="60">
        <f t="shared" si="17"/>
        <v>9964.6949999999997</v>
      </c>
      <c r="O117" s="59">
        <f t="shared" si="18"/>
        <v>415.19562500000001</v>
      </c>
      <c r="P117" s="80">
        <f t="shared" si="19"/>
        <v>53145.04</v>
      </c>
      <c r="Q117" s="108" t="s">
        <v>33</v>
      </c>
      <c r="R117" s="67"/>
      <c r="S117" s="117"/>
      <c r="T117" s="68"/>
      <c r="U117" s="117"/>
      <c r="V117" s="120"/>
    </row>
    <row r="118" spans="1:22" ht="15" customHeight="1" x14ac:dyDescent="0.3">
      <c r="A118" s="56">
        <f t="shared" si="24"/>
        <v>61.74</v>
      </c>
      <c r="B118" s="57">
        <v>39.770000000000003</v>
      </c>
      <c r="C118" s="57"/>
      <c r="D118" s="57" t="s">
        <v>58</v>
      </c>
      <c r="E118" s="57" t="s">
        <v>172</v>
      </c>
      <c r="F118" s="57">
        <f t="shared" si="25"/>
        <v>402</v>
      </c>
      <c r="G118" s="57" t="s">
        <v>80</v>
      </c>
      <c r="H118" s="57">
        <f t="shared" si="26"/>
        <v>4</v>
      </c>
      <c r="I118" s="57">
        <v>1</v>
      </c>
      <c r="J118" s="61" t="s">
        <v>185</v>
      </c>
      <c r="K118" s="59">
        <v>66431.3</v>
      </c>
      <c r="L118" s="59">
        <v>500</v>
      </c>
      <c r="M118" s="59">
        <v>2821.5650000000005</v>
      </c>
      <c r="N118" s="60">
        <f t="shared" si="17"/>
        <v>9964.6949999999997</v>
      </c>
      <c r="O118" s="59">
        <f t="shared" si="18"/>
        <v>415.19562500000001</v>
      </c>
      <c r="P118" s="80">
        <f t="shared" si="19"/>
        <v>53145.04</v>
      </c>
      <c r="Q118" s="108" t="s">
        <v>25</v>
      </c>
      <c r="R118" s="67" t="s">
        <v>95</v>
      </c>
      <c r="S118" s="68">
        <v>46122</v>
      </c>
      <c r="T118" s="68">
        <v>46152</v>
      </c>
      <c r="U118" s="117"/>
      <c r="V118" s="120" t="s">
        <v>169</v>
      </c>
    </row>
    <row r="119" spans="1:22" ht="15" customHeight="1" x14ac:dyDescent="0.3">
      <c r="A119" s="56">
        <f t="shared" si="24"/>
        <v>61.74</v>
      </c>
      <c r="B119" s="57">
        <v>39.770000000000003</v>
      </c>
      <c r="C119" s="57"/>
      <c r="D119" s="57" t="s">
        <v>58</v>
      </c>
      <c r="E119" s="57" t="s">
        <v>172</v>
      </c>
      <c r="F119" s="57">
        <f t="shared" si="25"/>
        <v>403</v>
      </c>
      <c r="G119" s="57" t="s">
        <v>80</v>
      </c>
      <c r="H119" s="57">
        <f t="shared" si="26"/>
        <v>4</v>
      </c>
      <c r="I119" s="57">
        <v>1</v>
      </c>
      <c r="J119" s="58"/>
      <c r="K119" s="59">
        <v>66431.3</v>
      </c>
      <c r="L119" s="59">
        <v>500</v>
      </c>
      <c r="M119" s="59">
        <v>2821.5650000000005</v>
      </c>
      <c r="N119" s="60">
        <f t="shared" si="17"/>
        <v>9964.6949999999997</v>
      </c>
      <c r="O119" s="59">
        <f t="shared" si="18"/>
        <v>415.19562500000001</v>
      </c>
      <c r="P119" s="80">
        <f t="shared" si="19"/>
        <v>53145.04</v>
      </c>
      <c r="Q119" s="108" t="s">
        <v>44</v>
      </c>
      <c r="R119" s="67" t="s">
        <v>186</v>
      </c>
      <c r="S119" s="68">
        <v>46133</v>
      </c>
      <c r="T119" s="68">
        <f t="shared" si="23"/>
        <v>46135</v>
      </c>
      <c r="U119" s="117"/>
      <c r="V119" s="67" t="s">
        <v>149</v>
      </c>
    </row>
    <row r="120" spans="1:22" ht="15" customHeight="1" x14ac:dyDescent="0.3">
      <c r="A120" s="62">
        <f t="shared" si="24"/>
        <v>61.74</v>
      </c>
      <c r="B120" s="63">
        <v>39.770000000000003</v>
      </c>
      <c r="C120" s="63"/>
      <c r="D120" s="63" t="s">
        <v>58</v>
      </c>
      <c r="E120" s="63" t="s">
        <v>172</v>
      </c>
      <c r="F120" s="63">
        <f t="shared" si="25"/>
        <v>404</v>
      </c>
      <c r="G120" s="63" t="s">
        <v>80</v>
      </c>
      <c r="H120" s="63">
        <f t="shared" si="26"/>
        <v>4</v>
      </c>
      <c r="I120" s="63">
        <v>1</v>
      </c>
      <c r="J120" s="64"/>
      <c r="K120" s="65">
        <v>66431.3</v>
      </c>
      <c r="L120" s="65">
        <v>500</v>
      </c>
      <c r="M120" s="65">
        <v>2821.5650000000005</v>
      </c>
      <c r="N120" s="66">
        <f t="shared" si="17"/>
        <v>9964.6949999999997</v>
      </c>
      <c r="O120" s="94">
        <f t="shared" si="18"/>
        <v>415.19562500000001</v>
      </c>
      <c r="P120" s="95">
        <f t="shared" si="19"/>
        <v>53145.04</v>
      </c>
      <c r="Q120" s="111" t="s">
        <v>33</v>
      </c>
      <c r="R120" s="67"/>
      <c r="S120" s="68"/>
      <c r="T120" s="68"/>
      <c r="U120" s="117"/>
      <c r="V120" s="67"/>
    </row>
    <row r="121" spans="1:22" ht="15" customHeight="1" x14ac:dyDescent="0.3">
      <c r="A121" s="52">
        <v>76.02</v>
      </c>
      <c r="B121" s="53"/>
      <c r="C121" s="53"/>
      <c r="D121" s="53" t="s">
        <v>58</v>
      </c>
      <c r="E121" s="53" t="s">
        <v>187</v>
      </c>
      <c r="F121" s="53">
        <v>101</v>
      </c>
      <c r="G121" s="53" t="s">
        <v>21</v>
      </c>
      <c r="H121" s="53">
        <v>1</v>
      </c>
      <c r="I121" s="53">
        <v>1</v>
      </c>
      <c r="J121" s="88"/>
      <c r="K121" s="54">
        <v>70318.5</v>
      </c>
      <c r="L121" s="54">
        <v>500</v>
      </c>
      <c r="M121" s="54">
        <v>3015.9250000000002</v>
      </c>
      <c r="N121" s="91">
        <f t="shared" si="17"/>
        <v>10547.775</v>
      </c>
      <c r="O121" s="89">
        <f t="shared" si="18"/>
        <v>439.49062499999997</v>
      </c>
      <c r="P121" s="90">
        <f t="shared" si="19"/>
        <v>56254.799999999996</v>
      </c>
      <c r="Q121" s="111" t="s">
        <v>33</v>
      </c>
      <c r="R121" s="67"/>
      <c r="S121" s="68"/>
      <c r="T121" s="68"/>
      <c r="U121" s="117"/>
      <c r="V121" s="67"/>
    </row>
    <row r="122" spans="1:22" ht="15" customHeight="1" x14ac:dyDescent="0.3">
      <c r="A122" s="56">
        <v>76.02</v>
      </c>
      <c r="B122" s="57"/>
      <c r="C122" s="57"/>
      <c r="D122" s="57" t="s">
        <v>58</v>
      </c>
      <c r="E122" s="57" t="s">
        <v>187</v>
      </c>
      <c r="F122" s="57">
        <v>102</v>
      </c>
      <c r="G122" s="57" t="s">
        <v>21</v>
      </c>
      <c r="H122" s="57">
        <v>1</v>
      </c>
      <c r="I122" s="57">
        <v>1</v>
      </c>
      <c r="J122" s="88"/>
      <c r="K122" s="59">
        <v>70318.5</v>
      </c>
      <c r="L122" s="59">
        <v>500</v>
      </c>
      <c r="M122" s="59">
        <v>3015.9250000000002</v>
      </c>
      <c r="N122" s="92">
        <f t="shared" si="17"/>
        <v>10547.775</v>
      </c>
      <c r="O122" s="89">
        <f t="shared" si="18"/>
        <v>439.49062499999997</v>
      </c>
      <c r="P122" s="90">
        <f t="shared" si="19"/>
        <v>56254.799999999996</v>
      </c>
      <c r="Q122" s="111" t="s">
        <v>33</v>
      </c>
      <c r="R122" s="67"/>
      <c r="S122" s="68"/>
      <c r="T122" s="68"/>
      <c r="U122" s="117"/>
      <c r="V122" s="67"/>
    </row>
    <row r="123" spans="1:22" ht="15" customHeight="1" x14ac:dyDescent="0.3">
      <c r="A123" s="56">
        <v>76.67</v>
      </c>
      <c r="B123" s="57"/>
      <c r="C123" s="57"/>
      <c r="D123" s="57" t="s">
        <v>58</v>
      </c>
      <c r="E123" s="57" t="s">
        <v>187</v>
      </c>
      <c r="F123" s="57">
        <v>103</v>
      </c>
      <c r="G123" s="57" t="s">
        <v>21</v>
      </c>
      <c r="H123" s="57">
        <v>1</v>
      </c>
      <c r="I123" s="57">
        <v>1</v>
      </c>
      <c r="J123" s="88"/>
      <c r="K123" s="59">
        <v>70919.75</v>
      </c>
      <c r="L123" s="59">
        <v>500</v>
      </c>
      <c r="M123" s="59">
        <v>3045.9875000000002</v>
      </c>
      <c r="N123" s="92">
        <f t="shared" si="17"/>
        <v>10637.9625</v>
      </c>
      <c r="O123" s="89">
        <f t="shared" si="18"/>
        <v>443.24843749999997</v>
      </c>
      <c r="P123" s="90">
        <f t="shared" si="19"/>
        <v>56735.799999999996</v>
      </c>
      <c r="Q123" s="112" t="s">
        <v>33</v>
      </c>
      <c r="R123" s="67"/>
      <c r="S123" s="68"/>
      <c r="T123" s="68"/>
      <c r="U123" s="117"/>
      <c r="V123" s="67"/>
    </row>
    <row r="124" spans="1:22" ht="15" customHeight="1" x14ac:dyDescent="0.3">
      <c r="A124" s="56">
        <v>76.67</v>
      </c>
      <c r="B124" s="57"/>
      <c r="C124" s="57"/>
      <c r="D124" s="57" t="s">
        <v>58</v>
      </c>
      <c r="E124" s="57" t="s">
        <v>187</v>
      </c>
      <c r="F124" s="57">
        <v>104</v>
      </c>
      <c r="G124" s="57" t="s">
        <v>21</v>
      </c>
      <c r="H124" s="57">
        <v>1</v>
      </c>
      <c r="I124" s="57">
        <v>1</v>
      </c>
      <c r="J124" s="88"/>
      <c r="K124" s="59">
        <v>70919.75</v>
      </c>
      <c r="L124" s="59">
        <v>500</v>
      </c>
      <c r="M124" s="59">
        <v>3045.9875000000002</v>
      </c>
      <c r="N124" s="92">
        <f t="shared" si="17"/>
        <v>10637.9625</v>
      </c>
      <c r="O124" s="89">
        <f t="shared" si="18"/>
        <v>443.24843749999997</v>
      </c>
      <c r="P124" s="90">
        <f t="shared" si="19"/>
        <v>56735.799999999996</v>
      </c>
      <c r="Q124" s="112" t="s">
        <v>33</v>
      </c>
      <c r="R124" s="67"/>
      <c r="S124" s="68"/>
      <c r="T124" s="68"/>
      <c r="U124" s="117"/>
      <c r="V124" s="67"/>
    </row>
    <row r="125" spans="1:22" ht="15" customHeight="1" x14ac:dyDescent="0.3">
      <c r="A125" s="56">
        <v>76.02</v>
      </c>
      <c r="B125" s="57"/>
      <c r="C125" s="57"/>
      <c r="D125" s="57" t="s">
        <v>58</v>
      </c>
      <c r="E125" s="57" t="s">
        <v>187</v>
      </c>
      <c r="F125" s="57">
        <f>F121+100</f>
        <v>201</v>
      </c>
      <c r="G125" s="57" t="s">
        <v>21</v>
      </c>
      <c r="H125" s="57">
        <f>H121+1</f>
        <v>2</v>
      </c>
      <c r="I125" s="57">
        <v>1</v>
      </c>
      <c r="J125" s="88"/>
      <c r="K125" s="59">
        <v>69938.399999999994</v>
      </c>
      <c r="L125" s="59">
        <v>500</v>
      </c>
      <c r="M125" s="59">
        <v>2996.92</v>
      </c>
      <c r="N125" s="92">
        <f t="shared" si="17"/>
        <v>10490.759999999998</v>
      </c>
      <c r="O125" s="89">
        <f t="shared" si="18"/>
        <v>437.11499999999995</v>
      </c>
      <c r="P125" s="90">
        <f t="shared" si="19"/>
        <v>55950.720000000001</v>
      </c>
      <c r="Q125" s="112" t="s">
        <v>33</v>
      </c>
      <c r="R125" s="67"/>
      <c r="S125" s="68"/>
      <c r="T125" s="68"/>
      <c r="U125" s="117"/>
      <c r="V125" s="67"/>
    </row>
    <row r="126" spans="1:22" ht="15" customHeight="1" x14ac:dyDescent="0.3">
      <c r="A126" s="56">
        <v>76.02</v>
      </c>
      <c r="B126" s="57"/>
      <c r="C126" s="57"/>
      <c r="D126" s="57" t="s">
        <v>58</v>
      </c>
      <c r="E126" s="57" t="s">
        <v>187</v>
      </c>
      <c r="F126" s="57">
        <f t="shared" ref="F126:F136" si="27">F122+100</f>
        <v>202</v>
      </c>
      <c r="G126" s="57" t="s">
        <v>21</v>
      </c>
      <c r="H126" s="57">
        <f t="shared" ref="H126:H136" si="28">H122+1</f>
        <v>2</v>
      </c>
      <c r="I126" s="57">
        <v>1</v>
      </c>
      <c r="J126" s="88"/>
      <c r="K126" s="59">
        <v>69938.399999999994</v>
      </c>
      <c r="L126" s="59">
        <v>500</v>
      </c>
      <c r="M126" s="59">
        <v>2996.92</v>
      </c>
      <c r="N126" s="92">
        <f t="shared" si="17"/>
        <v>10490.759999999998</v>
      </c>
      <c r="O126" s="89">
        <f t="shared" si="18"/>
        <v>437.11499999999995</v>
      </c>
      <c r="P126" s="90">
        <f t="shared" si="19"/>
        <v>55950.720000000001</v>
      </c>
      <c r="Q126" s="112" t="s">
        <v>33</v>
      </c>
      <c r="R126" s="67"/>
      <c r="S126" s="68"/>
      <c r="T126" s="68"/>
      <c r="U126" s="117"/>
      <c r="V126" s="67"/>
    </row>
    <row r="127" spans="1:22" ht="15" customHeight="1" x14ac:dyDescent="0.3">
      <c r="A127" s="56">
        <v>76.67</v>
      </c>
      <c r="B127" s="57"/>
      <c r="C127" s="57"/>
      <c r="D127" s="57" t="s">
        <v>58</v>
      </c>
      <c r="E127" s="57" t="s">
        <v>187</v>
      </c>
      <c r="F127" s="57">
        <f t="shared" si="27"/>
        <v>203</v>
      </c>
      <c r="G127" s="57" t="s">
        <v>21</v>
      </c>
      <c r="H127" s="57">
        <f t="shared" si="28"/>
        <v>2</v>
      </c>
      <c r="I127" s="57">
        <v>1</v>
      </c>
      <c r="J127" s="88"/>
      <c r="K127" s="59">
        <v>70536.400000000009</v>
      </c>
      <c r="L127" s="59">
        <v>500</v>
      </c>
      <c r="M127" s="59">
        <v>3026.8200000000006</v>
      </c>
      <c r="N127" s="92">
        <f t="shared" si="17"/>
        <v>10580.460000000001</v>
      </c>
      <c r="O127" s="89">
        <f t="shared" si="18"/>
        <v>440.85250000000002</v>
      </c>
      <c r="P127" s="90">
        <f t="shared" si="19"/>
        <v>56429.120000000003</v>
      </c>
      <c r="Q127" s="112" t="s">
        <v>33</v>
      </c>
      <c r="R127" s="67"/>
      <c r="S127" s="68"/>
      <c r="T127" s="68"/>
      <c r="U127" s="117"/>
      <c r="V127" s="67"/>
    </row>
    <row r="128" spans="1:22" ht="15" customHeight="1" x14ac:dyDescent="0.3">
      <c r="A128" s="56">
        <v>76.67</v>
      </c>
      <c r="B128" s="57"/>
      <c r="C128" s="57"/>
      <c r="D128" s="57" t="s">
        <v>58</v>
      </c>
      <c r="E128" s="57" t="s">
        <v>187</v>
      </c>
      <c r="F128" s="57">
        <f t="shared" si="27"/>
        <v>204</v>
      </c>
      <c r="G128" s="57" t="s">
        <v>21</v>
      </c>
      <c r="H128" s="57">
        <f t="shared" si="28"/>
        <v>2</v>
      </c>
      <c r="I128" s="57">
        <v>1</v>
      </c>
      <c r="J128" s="88"/>
      <c r="K128" s="59">
        <v>70536.400000000009</v>
      </c>
      <c r="L128" s="59">
        <v>500</v>
      </c>
      <c r="M128" s="59">
        <v>3026.8200000000006</v>
      </c>
      <c r="N128" s="92">
        <f t="shared" si="17"/>
        <v>10580.460000000001</v>
      </c>
      <c r="O128" s="89">
        <f t="shared" si="18"/>
        <v>440.85250000000002</v>
      </c>
      <c r="P128" s="90">
        <f t="shared" si="19"/>
        <v>56429.120000000003</v>
      </c>
      <c r="Q128" s="112" t="s">
        <v>33</v>
      </c>
      <c r="R128" s="67"/>
      <c r="S128" s="68"/>
      <c r="T128" s="68"/>
      <c r="U128" s="117"/>
      <c r="V128" s="67"/>
    </row>
    <row r="129" spans="1:22" ht="15" customHeight="1" x14ac:dyDescent="0.3">
      <c r="A129" s="56">
        <v>76.02</v>
      </c>
      <c r="B129" s="57"/>
      <c r="C129" s="57"/>
      <c r="D129" s="57" t="s">
        <v>58</v>
      </c>
      <c r="E129" s="57" t="s">
        <v>187</v>
      </c>
      <c r="F129" s="57">
        <f t="shared" si="27"/>
        <v>301</v>
      </c>
      <c r="G129" s="57" t="s">
        <v>21</v>
      </c>
      <c r="H129" s="57">
        <f t="shared" si="28"/>
        <v>3</v>
      </c>
      <c r="I129" s="57">
        <v>1</v>
      </c>
      <c r="J129" s="100" t="s">
        <v>188</v>
      </c>
      <c r="K129" s="59">
        <v>66137.399999999994</v>
      </c>
      <c r="L129" s="59">
        <v>500</v>
      </c>
      <c r="M129" s="59">
        <v>2806.87</v>
      </c>
      <c r="N129" s="92">
        <f t="shared" si="17"/>
        <v>9920.6099999999988</v>
      </c>
      <c r="O129" s="89">
        <f t="shared" si="18"/>
        <v>413.35874999999993</v>
      </c>
      <c r="P129" s="90">
        <f t="shared" si="19"/>
        <v>52909.919999999991</v>
      </c>
      <c r="Q129" s="112" t="s">
        <v>25</v>
      </c>
      <c r="R129" s="67" t="s">
        <v>189</v>
      </c>
      <c r="S129" s="68">
        <v>46130</v>
      </c>
      <c r="T129" s="68">
        <v>46160</v>
      </c>
      <c r="U129" s="117"/>
      <c r="V129" s="120" t="s">
        <v>180</v>
      </c>
    </row>
    <row r="130" spans="1:22" ht="15" customHeight="1" x14ac:dyDescent="0.3">
      <c r="A130" s="56">
        <v>76.02</v>
      </c>
      <c r="B130" s="57"/>
      <c r="C130" s="57"/>
      <c r="D130" s="57" t="s">
        <v>58</v>
      </c>
      <c r="E130" s="57" t="s">
        <v>187</v>
      </c>
      <c r="F130" s="57">
        <f t="shared" si="27"/>
        <v>302</v>
      </c>
      <c r="G130" s="57" t="s">
        <v>21</v>
      </c>
      <c r="H130" s="57">
        <f t="shared" si="28"/>
        <v>3</v>
      </c>
      <c r="I130" s="57">
        <v>1</v>
      </c>
      <c r="J130" s="100" t="s">
        <v>190</v>
      </c>
      <c r="K130" s="59">
        <v>66137.399999999994</v>
      </c>
      <c r="L130" s="59">
        <v>500</v>
      </c>
      <c r="M130" s="59">
        <v>2806.87</v>
      </c>
      <c r="N130" s="92">
        <f t="shared" si="17"/>
        <v>9920.6099999999988</v>
      </c>
      <c r="O130" s="89">
        <f t="shared" si="18"/>
        <v>413.35874999999993</v>
      </c>
      <c r="P130" s="90">
        <f t="shared" si="19"/>
        <v>52909.919999999991</v>
      </c>
      <c r="Q130" s="112" t="s">
        <v>25</v>
      </c>
      <c r="R130" s="67" t="s">
        <v>189</v>
      </c>
      <c r="S130" s="68">
        <v>46130</v>
      </c>
      <c r="T130" s="68">
        <v>46160</v>
      </c>
      <c r="U130" s="117"/>
      <c r="V130" s="120" t="s">
        <v>180</v>
      </c>
    </row>
    <row r="131" spans="1:22" ht="15" customHeight="1" x14ac:dyDescent="0.3">
      <c r="A131" s="56">
        <v>76.67</v>
      </c>
      <c r="B131" s="57"/>
      <c r="C131" s="57"/>
      <c r="D131" s="57" t="s">
        <v>58</v>
      </c>
      <c r="E131" s="57" t="s">
        <v>187</v>
      </c>
      <c r="F131" s="57">
        <f t="shared" si="27"/>
        <v>303</v>
      </c>
      <c r="G131" s="57" t="s">
        <v>21</v>
      </c>
      <c r="H131" s="57">
        <f t="shared" si="28"/>
        <v>3</v>
      </c>
      <c r="I131" s="57">
        <v>1</v>
      </c>
      <c r="J131" s="100" t="s">
        <v>191</v>
      </c>
      <c r="K131" s="59">
        <v>66702.900000000009</v>
      </c>
      <c r="L131" s="59">
        <v>500</v>
      </c>
      <c r="M131" s="59">
        <v>2835.1450000000004</v>
      </c>
      <c r="N131" s="92">
        <f t="shared" si="17"/>
        <v>10005.435000000001</v>
      </c>
      <c r="O131" s="89">
        <f t="shared" si="18"/>
        <v>416.89312500000005</v>
      </c>
      <c r="P131" s="90">
        <f t="shared" si="19"/>
        <v>53362.320000000007</v>
      </c>
      <c r="Q131" s="112" t="s">
        <v>25</v>
      </c>
      <c r="R131" s="67" t="s">
        <v>61</v>
      </c>
      <c r="S131" s="68">
        <v>46129</v>
      </c>
      <c r="T131" s="68">
        <v>46159</v>
      </c>
      <c r="U131" s="117"/>
      <c r="V131" s="120" t="s">
        <v>178</v>
      </c>
    </row>
    <row r="132" spans="1:22" ht="15" customHeight="1" x14ac:dyDescent="0.3">
      <c r="A132" s="56">
        <v>76.67</v>
      </c>
      <c r="B132" s="57"/>
      <c r="C132" s="57"/>
      <c r="D132" s="57" t="s">
        <v>58</v>
      </c>
      <c r="E132" s="57" t="s">
        <v>187</v>
      </c>
      <c r="F132" s="57">
        <f t="shared" si="27"/>
        <v>304</v>
      </c>
      <c r="G132" s="57" t="s">
        <v>21</v>
      </c>
      <c r="H132" s="57">
        <f t="shared" si="28"/>
        <v>3</v>
      </c>
      <c r="I132" s="57">
        <v>1</v>
      </c>
      <c r="J132" s="88"/>
      <c r="K132" s="59">
        <v>66702.900000000009</v>
      </c>
      <c r="L132" s="59">
        <v>500</v>
      </c>
      <c r="M132" s="59">
        <v>2835.1450000000004</v>
      </c>
      <c r="N132" s="92">
        <f t="shared" si="17"/>
        <v>10005.435000000001</v>
      </c>
      <c r="O132" s="89">
        <f t="shared" si="18"/>
        <v>416.89312500000005</v>
      </c>
      <c r="P132" s="90">
        <f t="shared" si="19"/>
        <v>53362.320000000007</v>
      </c>
      <c r="Q132" s="112" t="s">
        <v>33</v>
      </c>
      <c r="R132" s="67"/>
      <c r="S132" s="68"/>
      <c r="T132" s="68"/>
      <c r="U132" s="117"/>
      <c r="V132" s="67"/>
    </row>
    <row r="133" spans="1:22" ht="15" customHeight="1" x14ac:dyDescent="0.3">
      <c r="A133" s="56">
        <v>76.02</v>
      </c>
      <c r="B133" s="57">
        <v>47.2</v>
      </c>
      <c r="C133" s="57"/>
      <c r="D133" s="57" t="s">
        <v>58</v>
      </c>
      <c r="E133" s="57" t="s">
        <v>187</v>
      </c>
      <c r="F133" s="57">
        <f t="shared" si="27"/>
        <v>401</v>
      </c>
      <c r="G133" s="57" t="s">
        <v>21</v>
      </c>
      <c r="H133" s="57">
        <f t="shared" si="28"/>
        <v>4</v>
      </c>
      <c r="I133" s="57">
        <v>1</v>
      </c>
      <c r="J133" s="88"/>
      <c r="K133" s="59">
        <v>75639.899999999994</v>
      </c>
      <c r="L133" s="59">
        <v>500</v>
      </c>
      <c r="M133" s="59">
        <v>3281.9949999999999</v>
      </c>
      <c r="N133" s="92">
        <f t="shared" si="17"/>
        <v>11345.984999999999</v>
      </c>
      <c r="O133" s="89">
        <f t="shared" si="18"/>
        <v>472.74937499999993</v>
      </c>
      <c r="P133" s="90">
        <f t="shared" si="19"/>
        <v>60511.92</v>
      </c>
      <c r="Q133" s="111" t="s">
        <v>33</v>
      </c>
      <c r="R133" s="67"/>
      <c r="S133" s="68"/>
      <c r="T133" s="68"/>
      <c r="U133" s="117"/>
      <c r="V133" s="67"/>
    </row>
    <row r="134" spans="1:22" ht="15" customHeight="1" x14ac:dyDescent="0.3">
      <c r="A134" s="56">
        <v>76.02</v>
      </c>
      <c r="B134" s="57">
        <v>47.2</v>
      </c>
      <c r="C134" s="57"/>
      <c r="D134" s="57" t="s">
        <v>58</v>
      </c>
      <c r="E134" s="57" t="s">
        <v>187</v>
      </c>
      <c r="F134" s="57">
        <f t="shared" si="27"/>
        <v>402</v>
      </c>
      <c r="G134" s="57" t="s">
        <v>21</v>
      </c>
      <c r="H134" s="57">
        <f t="shared" si="28"/>
        <v>4</v>
      </c>
      <c r="I134" s="57">
        <v>1</v>
      </c>
      <c r="J134" s="88"/>
      <c r="K134" s="59">
        <v>75639.899999999994</v>
      </c>
      <c r="L134" s="59">
        <v>500</v>
      </c>
      <c r="M134" s="59">
        <v>3281.9949999999999</v>
      </c>
      <c r="N134" s="92">
        <f t="shared" si="17"/>
        <v>11345.984999999999</v>
      </c>
      <c r="O134" s="89">
        <f t="shared" si="18"/>
        <v>472.74937499999993</v>
      </c>
      <c r="P134" s="90">
        <f t="shared" si="19"/>
        <v>60511.92</v>
      </c>
      <c r="Q134" s="112" t="s">
        <v>33</v>
      </c>
      <c r="R134" s="67"/>
      <c r="S134" s="68"/>
      <c r="T134" s="68"/>
      <c r="U134" s="117"/>
      <c r="V134" s="67"/>
    </row>
    <row r="135" spans="1:22" ht="15" customHeight="1" x14ac:dyDescent="0.3">
      <c r="A135" s="56">
        <v>76.67</v>
      </c>
      <c r="B135" s="57">
        <v>44.48</v>
      </c>
      <c r="C135" s="57"/>
      <c r="D135" s="57" t="s">
        <v>58</v>
      </c>
      <c r="E135" s="57" t="s">
        <v>187</v>
      </c>
      <c r="F135" s="57">
        <f t="shared" si="27"/>
        <v>403</v>
      </c>
      <c r="G135" s="57" t="s">
        <v>21</v>
      </c>
      <c r="H135" s="57">
        <f t="shared" si="28"/>
        <v>4</v>
      </c>
      <c r="I135" s="57">
        <v>1</v>
      </c>
      <c r="J135" s="88"/>
      <c r="K135" s="59">
        <v>76286.650000000009</v>
      </c>
      <c r="L135" s="59">
        <v>500</v>
      </c>
      <c r="M135" s="59">
        <v>3314.3325000000004</v>
      </c>
      <c r="N135" s="92">
        <f t="shared" si="17"/>
        <v>11442.997500000001</v>
      </c>
      <c r="O135" s="89">
        <f t="shared" si="18"/>
        <v>476.79156250000005</v>
      </c>
      <c r="P135" s="90">
        <f t="shared" si="19"/>
        <v>61029.320000000007</v>
      </c>
      <c r="Q135" s="112" t="s">
        <v>33</v>
      </c>
      <c r="R135" s="67"/>
      <c r="S135" s="68"/>
      <c r="T135" s="68"/>
      <c r="U135" s="117"/>
      <c r="V135" s="67"/>
    </row>
    <row r="136" spans="1:22" ht="15" customHeight="1" x14ac:dyDescent="0.3">
      <c r="A136" s="62">
        <v>76.67</v>
      </c>
      <c r="B136" s="63">
        <v>44.48</v>
      </c>
      <c r="C136" s="63"/>
      <c r="D136" s="63" t="s">
        <v>58</v>
      </c>
      <c r="E136" s="63" t="s">
        <v>187</v>
      </c>
      <c r="F136" s="63">
        <f t="shared" si="27"/>
        <v>404</v>
      </c>
      <c r="G136" s="63" t="s">
        <v>21</v>
      </c>
      <c r="H136" s="63">
        <f t="shared" si="28"/>
        <v>4</v>
      </c>
      <c r="I136" s="63">
        <v>1</v>
      </c>
      <c r="J136" s="88"/>
      <c r="K136" s="65">
        <v>76286.650000000009</v>
      </c>
      <c r="L136" s="65">
        <v>500</v>
      </c>
      <c r="M136" s="65">
        <v>3314.3325000000004</v>
      </c>
      <c r="N136" s="93">
        <f t="shared" si="17"/>
        <v>11442.997500000001</v>
      </c>
      <c r="O136" s="89">
        <f t="shared" si="18"/>
        <v>476.79156250000005</v>
      </c>
      <c r="P136" s="90">
        <f t="shared" si="19"/>
        <v>61029.320000000007</v>
      </c>
      <c r="Q136" s="112" t="s">
        <v>33</v>
      </c>
      <c r="R136" s="67"/>
      <c r="S136" s="68"/>
      <c r="T136" s="68"/>
      <c r="U136" s="117"/>
      <c r="V136" s="67"/>
    </row>
    <row r="137" spans="1:22" ht="15" customHeight="1" x14ac:dyDescent="0.3">
      <c r="A137" s="101" t="s">
        <v>192</v>
      </c>
      <c r="B137" s="102"/>
      <c r="C137" s="102"/>
      <c r="D137" s="102"/>
      <c r="E137" s="102"/>
      <c r="F137" s="103"/>
      <c r="G137" s="44">
        <v>128</v>
      </c>
      <c r="H137" s="104" t="s">
        <v>193</v>
      </c>
      <c r="I137" s="105"/>
      <c r="J137" s="45"/>
      <c r="K137" s="46">
        <f t="shared" ref="K137:P137" si="29">SUM(K9:K136)</f>
        <v>9333201.9999999907</v>
      </c>
      <c r="L137" s="46">
        <f t="shared" si="29"/>
        <v>64000</v>
      </c>
      <c r="M137" s="46">
        <f t="shared" si="29"/>
        <v>402660.1</v>
      </c>
      <c r="N137" s="46">
        <f t="shared" si="29"/>
        <v>1399980.3000000014</v>
      </c>
      <c r="O137" s="46">
        <f t="shared" si="29"/>
        <v>58332.51249999999</v>
      </c>
      <c r="P137" s="47">
        <f t="shared" si="29"/>
        <v>7466561.5999999987</v>
      </c>
      <c r="Q137" s="47"/>
      <c r="R137" s="67"/>
      <c r="S137" s="68"/>
      <c r="T137" s="128" t="str">
        <f>IF(S137="","",S137+2)</f>
        <v/>
      </c>
      <c r="U137" s="114"/>
      <c r="V137" s="67"/>
    </row>
    <row r="139" spans="1:22" ht="21.6" customHeight="1" x14ac:dyDescent="0.3"/>
  </sheetData>
  <sheetProtection formatCells="0" formatColumns="0" formatRows="0"/>
  <protectedRanges>
    <protectedRange sqref="J1:J1048576" name="Rango1"/>
    <protectedRange sqref="V76 Q7:Q92 R35 V35 R36:V75 R77:V92 R7:V34 Q1:V6 Q93:V1048576" name="Rango2"/>
  </protectedRanges>
  <autoFilter ref="A8:V137" xr:uid="{8ADFD9AA-986F-473C-96BF-9EF30E296791}"/>
  <mergeCells count="5">
    <mergeCell ref="S7:U7"/>
    <mergeCell ref="A137:F137"/>
    <mergeCell ref="H137:I137"/>
    <mergeCell ref="A7:I7"/>
    <mergeCell ref="K7:Q7"/>
  </mergeCells>
  <conditionalFormatting sqref="Q9:Q32 Q57:Q72">
    <cfRule type="containsText" dxfId="10" priority="17" operator="containsText" text="NO DISPONIBLE">
      <formula>NOT(ISERROR(SEARCH("NO DISPONIBLE",Q9)))</formula>
    </cfRule>
    <cfRule type="containsText" dxfId="9" priority="18" operator="containsText" text="BLOQUEADO">
      <formula>NOT(ISERROR(SEARCH("BLOQUEADO",Q9)))</formula>
    </cfRule>
    <cfRule type="containsText" dxfId="8" priority="19" operator="containsText" text="DISPONIBLE">
      <formula>NOT(ISERROR(SEARCH("DISPONIBLE",Q9)))</formula>
    </cfRule>
  </conditionalFormatting>
  <conditionalFormatting sqref="Q33:Q56">
    <cfRule type="beginsWith" dxfId="7" priority="8" operator="beginsWith" text="DISPONIBLE">
      <formula>LEFT(Q33,LEN("DISPONIBLE"))="DISPONIBLE"</formula>
    </cfRule>
    <cfRule type="containsText" dxfId="6" priority="9" operator="containsText" text="BLOQUEADO">
      <formula>NOT(ISERROR(SEARCH("BLOQUEADO",Q33)))</formula>
    </cfRule>
    <cfRule type="beginsWith" dxfId="5" priority="10" operator="beginsWith" text="NO DISPONIBLE">
      <formula>LEFT(Q33,LEN("NO DISPONIBLE"))="NO DISPONIBLE"</formula>
    </cfRule>
  </conditionalFormatting>
  <conditionalFormatting sqref="Q73:Q136">
    <cfRule type="beginsWith" dxfId="4" priority="1" operator="beginsWith" text="DISPONIBLE">
      <formula>LEFT(Q73,LEN("DISPONIBLE"))="DISPONIBLE"</formula>
    </cfRule>
    <cfRule type="containsText" dxfId="3" priority="2" operator="containsText" text="BLOQUEADO">
      <formula>NOT(ISERROR(SEARCH("BLOQUEADO",Q73)))</formula>
    </cfRule>
    <cfRule type="beginsWith" dxfId="2" priority="3" operator="beginsWith" text="NO DISPONIBLE">
      <formula>LEFT(Q73,LEN("NO DISPONIBLE"))="NO DISPONIBLE"</formula>
    </cfRule>
  </conditionalFormatting>
  <conditionalFormatting sqref="T9:U34 T36:U40 T57:U71 T73:U75 T78:U84 T137:U137">
    <cfRule type="timePeriod" dxfId="1" priority="20" timePeriod="today">
      <formula>FLOOR(T9,1)=TODAY()</formula>
    </cfRule>
  </conditionalFormatting>
  <conditionalFormatting sqref="T50:U50">
    <cfRule type="timePeriod" dxfId="0" priority="4" timePeriod="today">
      <formula>FLOOR(T50,1)=TODAY()</formula>
    </cfRule>
  </conditionalFormatting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ETAPA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 Lopez</dc:creator>
  <cp:keywords/>
  <dc:description/>
  <cp:lastModifiedBy>Diana Reyes</cp:lastModifiedBy>
  <cp:revision/>
  <dcterms:created xsi:type="dcterms:W3CDTF">2026-02-11T20:43:50Z</dcterms:created>
  <dcterms:modified xsi:type="dcterms:W3CDTF">2026-04-21T14:19:06Z</dcterms:modified>
  <cp:category/>
  <cp:contentStatus/>
</cp:coreProperties>
</file>