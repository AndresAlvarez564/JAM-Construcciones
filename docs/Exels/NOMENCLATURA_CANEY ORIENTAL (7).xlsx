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7D42EFC6-7332-4F2C-B1BE-53CA5159EFEB}" xr6:coauthVersionLast="47" xr6:coauthVersionMax="47" xr10:uidLastSave="{00000000-0000-0000-0000-000000000000}"/>
  <bookViews>
    <workbookView xWindow="-19310" yWindow="-90" windowWidth="19420" windowHeight="10300" xr2:uid="{B7F448DB-4C51-4E17-B842-FD34CE66EB2A}"/>
  </bookViews>
  <sheets>
    <sheet name="LISTA DE PRECIOS ETAPA 1" sheetId="1" r:id="rId1"/>
  </sheets>
  <definedNames>
    <definedName name="_xlnm._FilterDatabase" localSheetId="0" hidden="1">'LISTA DE PRECIOS ETAPA 1'!$C$7:$S$183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" i="1" l="1"/>
  <c r="R51" i="1"/>
  <c r="R54" i="1"/>
  <c r="L71" i="1"/>
  <c r="N71" i="1" s="1"/>
  <c r="L70" i="1"/>
  <c r="N70" i="1" s="1"/>
  <c r="L69" i="1"/>
  <c r="N69" i="1" s="1"/>
  <c r="L68" i="1"/>
  <c r="N68" i="1" s="1"/>
  <c r="L67" i="1"/>
  <c r="N67" i="1" s="1"/>
  <c r="L66" i="1"/>
  <c r="M66" i="1" s="1"/>
  <c r="L65" i="1"/>
  <c r="M65" i="1" s="1"/>
  <c r="L64" i="1"/>
  <c r="N64" i="1" s="1"/>
  <c r="L63" i="1"/>
  <c r="M63" i="1" s="1"/>
  <c r="L62" i="1"/>
  <c r="N62" i="1" s="1"/>
  <c r="L61" i="1"/>
  <c r="N61" i="1" s="1"/>
  <c r="L60" i="1"/>
  <c r="N60" i="1" s="1"/>
  <c r="L59" i="1"/>
  <c r="N59" i="1" s="1"/>
  <c r="L58" i="1"/>
  <c r="N58" i="1" s="1"/>
  <c r="L57" i="1"/>
  <c r="N57" i="1" s="1"/>
  <c r="L56" i="1"/>
  <c r="N56" i="1" s="1"/>
  <c r="L183" i="1"/>
  <c r="N183" i="1" s="1"/>
  <c r="L182" i="1"/>
  <c r="M182" i="1" s="1"/>
  <c r="L181" i="1"/>
  <c r="N181" i="1" s="1"/>
  <c r="L180" i="1"/>
  <c r="N180" i="1" s="1"/>
  <c r="L179" i="1"/>
  <c r="N179" i="1" s="1"/>
  <c r="L178" i="1"/>
  <c r="M178" i="1" s="1"/>
  <c r="L177" i="1"/>
  <c r="N177" i="1" s="1"/>
  <c r="L176" i="1"/>
  <c r="N176" i="1" s="1"/>
  <c r="L175" i="1"/>
  <c r="N175" i="1" s="1"/>
  <c r="L174" i="1"/>
  <c r="N174" i="1" s="1"/>
  <c r="L173" i="1"/>
  <c r="M173" i="1" s="1"/>
  <c r="L172" i="1"/>
  <c r="N172" i="1" s="1"/>
  <c r="L171" i="1"/>
  <c r="N171" i="1" s="1"/>
  <c r="L170" i="1"/>
  <c r="M170" i="1" s="1"/>
  <c r="L169" i="1"/>
  <c r="N169" i="1" s="1"/>
  <c r="L168" i="1"/>
  <c r="N168" i="1" s="1"/>
  <c r="L167" i="1"/>
  <c r="N167" i="1" s="1"/>
  <c r="L166" i="1"/>
  <c r="N166" i="1" s="1"/>
  <c r="L165" i="1"/>
  <c r="N165" i="1" s="1"/>
  <c r="L164" i="1"/>
  <c r="M164" i="1" s="1"/>
  <c r="L163" i="1"/>
  <c r="N163" i="1" s="1"/>
  <c r="L162" i="1"/>
  <c r="M162" i="1" s="1"/>
  <c r="L161" i="1"/>
  <c r="N161" i="1" s="1"/>
  <c r="L160" i="1"/>
  <c r="N160" i="1" s="1"/>
  <c r="L159" i="1"/>
  <c r="N159" i="1" s="1"/>
  <c r="L158" i="1"/>
  <c r="N158" i="1" s="1"/>
  <c r="L157" i="1"/>
  <c r="N157" i="1" s="1"/>
  <c r="L156" i="1"/>
  <c r="M156" i="1" s="1"/>
  <c r="L155" i="1"/>
  <c r="N155" i="1" s="1"/>
  <c r="L154" i="1"/>
  <c r="M154" i="1" s="1"/>
  <c r="L153" i="1"/>
  <c r="M153" i="1" s="1"/>
  <c r="L152" i="1"/>
  <c r="N152" i="1" s="1"/>
  <c r="F175" i="1"/>
  <c r="F179" i="1" s="1"/>
  <c r="F183" i="1" s="1"/>
  <c r="F174" i="1"/>
  <c r="F178" i="1" s="1"/>
  <c r="F182" i="1" s="1"/>
  <c r="F173" i="1"/>
  <c r="F177" i="1" s="1"/>
  <c r="F181" i="1" s="1"/>
  <c r="F172" i="1"/>
  <c r="F176" i="1" s="1"/>
  <c r="F180" i="1" s="1"/>
  <c r="F159" i="1"/>
  <c r="F163" i="1" s="1"/>
  <c r="F167" i="1" s="1"/>
  <c r="F158" i="1"/>
  <c r="F162" i="1" s="1"/>
  <c r="F166" i="1" s="1"/>
  <c r="F157" i="1"/>
  <c r="F161" i="1" s="1"/>
  <c r="F165" i="1" s="1"/>
  <c r="F156" i="1"/>
  <c r="F160" i="1" s="1"/>
  <c r="F164" i="1" s="1"/>
  <c r="N63" i="1" l="1"/>
  <c r="M58" i="1"/>
  <c r="M61" i="1"/>
  <c r="N66" i="1"/>
  <c r="M71" i="1"/>
  <c r="M69" i="1"/>
  <c r="M70" i="1"/>
  <c r="N65" i="1"/>
  <c r="M68" i="1"/>
  <c r="M67" i="1"/>
  <c r="M64" i="1"/>
  <c r="M59" i="1"/>
  <c r="M62" i="1"/>
  <c r="M57" i="1"/>
  <c r="M60" i="1"/>
  <c r="M56" i="1"/>
  <c r="N173" i="1"/>
  <c r="M157" i="1"/>
  <c r="N162" i="1"/>
  <c r="N170" i="1"/>
  <c r="M181" i="1"/>
  <c r="N154" i="1"/>
  <c r="M165" i="1"/>
  <c r="M175" i="1"/>
  <c r="N178" i="1"/>
  <c r="M183" i="1"/>
  <c r="M168" i="1"/>
  <c r="M179" i="1"/>
  <c r="M174" i="1"/>
  <c r="M169" i="1"/>
  <c r="M177" i="1"/>
  <c r="N182" i="1"/>
  <c r="M172" i="1"/>
  <c r="M180" i="1"/>
  <c r="M176" i="1"/>
  <c r="M171" i="1"/>
  <c r="M152" i="1"/>
  <c r="M158" i="1"/>
  <c r="M166" i="1"/>
  <c r="M161" i="1"/>
  <c r="N153" i="1"/>
  <c r="N156" i="1"/>
  <c r="M159" i="1"/>
  <c r="N164" i="1"/>
  <c r="M167" i="1"/>
  <c r="M160" i="1"/>
  <c r="M155" i="1"/>
  <c r="M163" i="1"/>
  <c r="L151" i="1" l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F143" i="1"/>
  <c r="F147" i="1" s="1"/>
  <c r="F151" i="1" s="1"/>
  <c r="F142" i="1"/>
  <c r="F146" i="1" s="1"/>
  <c r="F150" i="1" s="1"/>
  <c r="F141" i="1"/>
  <c r="F145" i="1" s="1"/>
  <c r="F149" i="1" s="1"/>
  <c r="F140" i="1"/>
  <c r="F144" i="1" s="1"/>
  <c r="F148" i="1" s="1"/>
  <c r="L135" i="1"/>
  <c r="L134" i="1"/>
  <c r="L133" i="1"/>
  <c r="L132" i="1"/>
  <c r="L131" i="1"/>
  <c r="L130" i="1"/>
  <c r="L129" i="1"/>
  <c r="L128" i="1"/>
  <c r="L127" i="1"/>
  <c r="F127" i="1"/>
  <c r="F131" i="1" s="1"/>
  <c r="F135" i="1" s="1"/>
  <c r="L126" i="1"/>
  <c r="F126" i="1"/>
  <c r="F130" i="1" s="1"/>
  <c r="F134" i="1" s="1"/>
  <c r="L125" i="1"/>
  <c r="F125" i="1"/>
  <c r="F129" i="1" s="1"/>
  <c r="F133" i="1" s="1"/>
  <c r="L124" i="1"/>
  <c r="F124" i="1"/>
  <c r="F128" i="1" s="1"/>
  <c r="F132" i="1" s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F111" i="1"/>
  <c r="F115" i="1" s="1"/>
  <c r="F119" i="1" s="1"/>
  <c r="L110" i="1"/>
  <c r="F110" i="1"/>
  <c r="F114" i="1" s="1"/>
  <c r="F118" i="1" s="1"/>
  <c r="L108" i="1"/>
  <c r="F108" i="1"/>
  <c r="F113" i="1" s="1"/>
  <c r="F117" i="1" s="1"/>
  <c r="L109" i="1"/>
  <c r="F109" i="1"/>
  <c r="F112" i="1" s="1"/>
  <c r="F116" i="1" s="1"/>
  <c r="L107" i="1"/>
  <c r="L106" i="1"/>
  <c r="L105" i="1"/>
  <c r="L104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88" i="1"/>
  <c r="M88" i="1" s="1"/>
  <c r="L89" i="1"/>
  <c r="M89" i="1" s="1"/>
  <c r="L90" i="1"/>
  <c r="M90" i="1" s="1"/>
  <c r="L91" i="1"/>
  <c r="M91" i="1" s="1"/>
  <c r="F92" i="1"/>
  <c r="F96" i="1" s="1"/>
  <c r="F100" i="1" s="1"/>
  <c r="L92" i="1"/>
  <c r="N92" i="1" s="1"/>
  <c r="F93" i="1"/>
  <c r="F97" i="1" s="1"/>
  <c r="F101" i="1" s="1"/>
  <c r="L93" i="1"/>
  <c r="M93" i="1" s="1"/>
  <c r="F94" i="1"/>
  <c r="F98" i="1" s="1"/>
  <c r="F102" i="1" s="1"/>
  <c r="L94" i="1"/>
  <c r="M94" i="1" s="1"/>
  <c r="F95" i="1"/>
  <c r="F99" i="1" s="1"/>
  <c r="F103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32" i="1"/>
  <c r="M32" i="1" s="1"/>
  <c r="L33" i="1"/>
  <c r="N33" i="1" s="1"/>
  <c r="L34" i="1"/>
  <c r="M34" i="1" s="1"/>
  <c r="L35" i="1"/>
  <c r="M35" i="1" s="1"/>
  <c r="L36" i="1"/>
  <c r="M36" i="1" s="1"/>
  <c r="L37" i="1"/>
  <c r="M37" i="1" s="1"/>
  <c r="L38" i="1"/>
  <c r="N38" i="1" s="1"/>
  <c r="L39" i="1"/>
  <c r="M39" i="1" s="1"/>
  <c r="L9" i="1"/>
  <c r="N9" i="1" s="1"/>
  <c r="L10" i="1"/>
  <c r="M10" i="1" s="1"/>
  <c r="L11" i="1"/>
  <c r="N11" i="1" s="1"/>
  <c r="L12" i="1"/>
  <c r="N12" i="1" s="1"/>
  <c r="L13" i="1"/>
  <c r="M13" i="1" s="1"/>
  <c r="L14" i="1"/>
  <c r="M14" i="1" s="1"/>
  <c r="L15" i="1"/>
  <c r="N15" i="1" s="1"/>
  <c r="L16" i="1"/>
  <c r="N16" i="1" s="1"/>
  <c r="L17" i="1"/>
  <c r="N17" i="1" s="1"/>
  <c r="L18" i="1"/>
  <c r="M18" i="1" s="1"/>
  <c r="L19" i="1"/>
  <c r="N19" i="1" s="1"/>
  <c r="L20" i="1"/>
  <c r="N20" i="1" s="1"/>
  <c r="L21" i="1"/>
  <c r="M21" i="1" s="1"/>
  <c r="L22" i="1"/>
  <c r="M22" i="1" s="1"/>
  <c r="L23" i="1"/>
  <c r="N23" i="1" s="1"/>
  <c r="L24" i="1"/>
  <c r="N24" i="1" s="1"/>
  <c r="L25" i="1"/>
  <c r="M25" i="1" s="1"/>
  <c r="L26" i="1"/>
  <c r="M26" i="1" s="1"/>
  <c r="L27" i="1"/>
  <c r="N27" i="1" s="1"/>
  <c r="L28" i="1"/>
  <c r="N28" i="1" s="1"/>
  <c r="L29" i="1"/>
  <c r="M29" i="1" s="1"/>
  <c r="L30" i="1"/>
  <c r="M30" i="1" s="1"/>
  <c r="L31" i="1"/>
  <c r="N31" i="1" s="1"/>
  <c r="L72" i="1"/>
  <c r="N72" i="1" s="1"/>
  <c r="L73" i="1"/>
  <c r="N73" i="1" s="1"/>
  <c r="L74" i="1"/>
  <c r="M74" i="1" s="1"/>
  <c r="L75" i="1"/>
  <c r="N75" i="1" s="1"/>
  <c r="L76" i="1"/>
  <c r="N76" i="1" s="1"/>
  <c r="L77" i="1"/>
  <c r="M77" i="1" s="1"/>
  <c r="L78" i="1"/>
  <c r="M78" i="1" s="1"/>
  <c r="L79" i="1"/>
  <c r="N79" i="1" s="1"/>
  <c r="L80" i="1"/>
  <c r="N80" i="1" s="1"/>
  <c r="L81" i="1"/>
  <c r="N81" i="1" s="1"/>
  <c r="L82" i="1"/>
  <c r="M82" i="1" s="1"/>
  <c r="L83" i="1"/>
  <c r="N83" i="1" s="1"/>
  <c r="L84" i="1"/>
  <c r="N84" i="1" s="1"/>
  <c r="L85" i="1"/>
  <c r="M85" i="1" s="1"/>
  <c r="L86" i="1"/>
  <c r="M86" i="1" s="1"/>
  <c r="L87" i="1"/>
  <c r="N87" i="1" s="1"/>
  <c r="L8" i="1"/>
  <c r="M33" i="1" l="1"/>
  <c r="M20" i="1"/>
  <c r="M19" i="1"/>
  <c r="N82" i="1"/>
  <c r="N90" i="1"/>
  <c r="N25" i="1"/>
  <c r="N10" i="1"/>
  <c r="N39" i="1"/>
  <c r="N98" i="1"/>
  <c r="M23" i="1"/>
  <c r="M9" i="1"/>
  <c r="N102" i="1"/>
  <c r="N93" i="1"/>
  <c r="N89" i="1"/>
  <c r="M81" i="1"/>
  <c r="M92" i="1"/>
  <c r="N26" i="1"/>
  <c r="M38" i="1"/>
  <c r="N96" i="1"/>
  <c r="N77" i="1"/>
  <c r="N30" i="1"/>
  <c r="N37" i="1"/>
  <c r="N103" i="1"/>
  <c r="N101" i="1"/>
  <c r="N97" i="1"/>
  <c r="N91" i="1"/>
  <c r="M84" i="1"/>
  <c r="M76" i="1"/>
  <c r="M75" i="1"/>
  <c r="N34" i="1"/>
  <c r="M28" i="1"/>
  <c r="M12" i="1"/>
  <c r="M79" i="1"/>
  <c r="N100" i="1"/>
  <c r="N94" i="1"/>
  <c r="N86" i="1"/>
  <c r="N21" i="1"/>
  <c r="N14" i="1"/>
  <c r="M73" i="1"/>
  <c r="M87" i="1"/>
  <c r="M31" i="1"/>
  <c r="M15" i="1"/>
  <c r="N85" i="1"/>
  <c r="N74" i="1"/>
  <c r="N29" i="1"/>
  <c r="N18" i="1"/>
  <c r="N13" i="1"/>
  <c r="N95" i="1"/>
  <c r="N35" i="1"/>
  <c r="M17" i="1"/>
  <c r="N32" i="1"/>
  <c r="M83" i="1"/>
  <c r="M27" i="1"/>
  <c r="M11" i="1"/>
  <c r="N78" i="1"/>
  <c r="N22" i="1"/>
  <c r="N99" i="1"/>
  <c r="N36" i="1"/>
  <c r="N88" i="1"/>
  <c r="M8" i="1"/>
  <c r="M80" i="1"/>
  <c r="M72" i="1"/>
  <c r="M24" i="1"/>
  <c r="M16" i="1"/>
  <c r="N8" i="1"/>
  <c r="N136" i="1"/>
  <c r="M136" i="1"/>
  <c r="N137" i="1"/>
  <c r="M137" i="1"/>
  <c r="N138" i="1"/>
  <c r="M138" i="1"/>
  <c r="N139" i="1"/>
  <c r="M139" i="1"/>
  <c r="N140" i="1"/>
  <c r="M140" i="1"/>
  <c r="N141" i="1"/>
  <c r="M141" i="1"/>
  <c r="N142" i="1"/>
  <c r="M142" i="1"/>
  <c r="N143" i="1"/>
  <c r="M143" i="1"/>
  <c r="N144" i="1"/>
  <c r="M144" i="1"/>
  <c r="N145" i="1"/>
  <c r="M145" i="1"/>
  <c r="N146" i="1"/>
  <c r="M146" i="1"/>
  <c r="N147" i="1"/>
  <c r="M147" i="1"/>
  <c r="N148" i="1"/>
  <c r="M148" i="1"/>
  <c r="N149" i="1"/>
  <c r="M149" i="1"/>
  <c r="N150" i="1"/>
  <c r="M150" i="1"/>
  <c r="N151" i="1"/>
  <c r="M151" i="1"/>
  <c r="N104" i="1"/>
  <c r="M104" i="1"/>
  <c r="N105" i="1"/>
  <c r="M105" i="1"/>
  <c r="N106" i="1"/>
  <c r="M106" i="1"/>
  <c r="N107" i="1"/>
  <c r="M107" i="1"/>
  <c r="N109" i="1"/>
  <c r="M109" i="1"/>
  <c r="N108" i="1"/>
  <c r="M108" i="1"/>
  <c r="N110" i="1"/>
  <c r="M110" i="1"/>
  <c r="N111" i="1"/>
  <c r="M111" i="1"/>
  <c r="N112" i="1"/>
  <c r="M112" i="1"/>
  <c r="N113" i="1"/>
  <c r="M113" i="1"/>
  <c r="N114" i="1"/>
  <c r="M114" i="1"/>
  <c r="N115" i="1"/>
  <c r="M115" i="1"/>
  <c r="N116" i="1"/>
  <c r="M116" i="1"/>
  <c r="N117" i="1"/>
  <c r="M117" i="1"/>
  <c r="N118" i="1"/>
  <c r="M118" i="1"/>
  <c r="N119" i="1"/>
  <c r="M119" i="1"/>
  <c r="N120" i="1"/>
  <c r="M120" i="1"/>
  <c r="N121" i="1"/>
  <c r="M121" i="1"/>
  <c r="N122" i="1"/>
  <c r="M122" i="1"/>
  <c r="N123" i="1"/>
  <c r="M123" i="1"/>
  <c r="N124" i="1"/>
  <c r="M124" i="1"/>
  <c r="N125" i="1"/>
  <c r="M125" i="1"/>
  <c r="N126" i="1"/>
  <c r="M126" i="1"/>
  <c r="N127" i="1"/>
  <c r="M127" i="1"/>
  <c r="N128" i="1"/>
  <c r="M128" i="1"/>
  <c r="N129" i="1"/>
  <c r="M129" i="1"/>
  <c r="N130" i="1"/>
  <c r="M130" i="1"/>
  <c r="N131" i="1"/>
  <c r="M131" i="1"/>
  <c r="N132" i="1"/>
  <c r="M132" i="1"/>
  <c r="N133" i="1"/>
  <c r="M133" i="1"/>
  <c r="N134" i="1"/>
  <c r="M134" i="1"/>
  <c r="N135" i="1"/>
  <c r="M135" i="1"/>
  <c r="N40" i="1"/>
  <c r="M40" i="1"/>
  <c r="N41" i="1"/>
  <c r="M41" i="1"/>
  <c r="N42" i="1"/>
  <c r="M42" i="1"/>
  <c r="N43" i="1"/>
  <c r="M43" i="1"/>
  <c r="N44" i="1"/>
  <c r="M44" i="1"/>
  <c r="N45" i="1"/>
  <c r="M45" i="1"/>
  <c r="N46" i="1"/>
  <c r="M46" i="1"/>
  <c r="N47" i="1"/>
  <c r="M47" i="1"/>
  <c r="N48" i="1"/>
  <c r="M48" i="1"/>
  <c r="N49" i="1"/>
  <c r="M49" i="1"/>
  <c r="N50" i="1"/>
  <c r="M50" i="1"/>
  <c r="N51" i="1"/>
  <c r="M51" i="1"/>
  <c r="N52" i="1"/>
  <c r="M52" i="1"/>
  <c r="N53" i="1"/>
  <c r="M53" i="1"/>
  <c r="N54" i="1"/>
  <c r="M54" i="1"/>
  <c r="N55" i="1"/>
  <c r="M55" i="1"/>
</calcChain>
</file>

<file path=xl/sharedStrings.xml><?xml version="1.0" encoding="utf-8"?>
<sst xmlns="http://schemas.openxmlformats.org/spreadsheetml/2006/main" count="914" uniqueCount="381">
  <si>
    <t>Tipo</t>
  </si>
  <si>
    <t>Piso</t>
  </si>
  <si>
    <t>Parqueos</t>
  </si>
  <si>
    <t>NOMBRE CLIENTE</t>
  </si>
  <si>
    <t>Precios US$</t>
  </si>
  <si>
    <t>RESERVA</t>
  </si>
  <si>
    <t>SEPARACION</t>
  </si>
  <si>
    <t>INICIAL</t>
  </si>
  <si>
    <t xml:space="preserve">CUOTAS 24 </t>
  </si>
  <si>
    <t>CONTRA ENTREGA</t>
  </si>
  <si>
    <t>ESTATUS</t>
  </si>
  <si>
    <t>INMOBILIARIA</t>
  </si>
  <si>
    <t>FECHA BLOQUEO</t>
  </si>
  <si>
    <t>COMENTARIO</t>
  </si>
  <si>
    <t>B</t>
  </si>
  <si>
    <t>A</t>
  </si>
  <si>
    <t>D</t>
  </si>
  <si>
    <t>JOSE MIGUEL BARRERA GALICIA</t>
  </si>
  <si>
    <t>NO DISPONIBLE</t>
  </si>
  <si>
    <t>Plusval</t>
  </si>
  <si>
    <t>CONTRATO FIRMADO</t>
  </si>
  <si>
    <t>FRAIDY LANA ALMONTE</t>
  </si>
  <si>
    <t>PS Inmobiliaira</t>
  </si>
  <si>
    <t>ALEXANDER SANTOS LARA</t>
  </si>
  <si>
    <t>Tiene hasta el 27/5 para hacer el pago de sa separacion</t>
  </si>
  <si>
    <t>JAPHET ULLOA SANCHEZ</t>
  </si>
  <si>
    <t>Tiene hasta el 19/4 para hacer el pago de sa separacion</t>
  </si>
  <si>
    <t>LILIANA DE LA CRUZ MENDOZA</t>
  </si>
  <si>
    <t>MR HOME</t>
  </si>
  <si>
    <t>MARANYELI BATISTA BALBUENA</t>
  </si>
  <si>
    <t>GRACILEIDY BILIANA ROMERO VERAS</t>
  </si>
  <si>
    <t xml:space="preserve">DIANA TERESA FELIZ </t>
  </si>
  <si>
    <t>HOMEWAY</t>
  </si>
  <si>
    <t>NICAURY GERALYS ALCANTARA GARCIA y BRIAN BOYD STARKS</t>
  </si>
  <si>
    <t>East Home</t>
  </si>
  <si>
    <t>BLOQUEADO</t>
  </si>
  <si>
    <t>JUNIOR EMILIO ACOSTA POLANCO</t>
  </si>
  <si>
    <t>Tiene hasta el 24/4 para hacer el pago de sa separacion</t>
  </si>
  <si>
    <t>MASSIEL GUZMAN MANZANA</t>
  </si>
  <si>
    <t>ANTHONY ARAUJO REYES</t>
  </si>
  <si>
    <t>Oferta Inmobiliaria</t>
  </si>
  <si>
    <t>JERONIDES PERALTA CONCEPCION</t>
  </si>
  <si>
    <t>JULIO ALFREDO RAVELO PEREZ</t>
  </si>
  <si>
    <t>YEISON IGNACIO ALVAREZ DIPRE Y LANDA TEJADA DE ALVAREZ</t>
  </si>
  <si>
    <t>TUCASARD</t>
  </si>
  <si>
    <t>INVERSIONES ELOP, S.R.L</t>
  </si>
  <si>
    <t>GEILYN MENDEZ PEÑA</t>
  </si>
  <si>
    <t>JOSE UJANEL UREÑA UREÑA</t>
  </si>
  <si>
    <t>Tiene hasta el 1/5 para hacer el pago de sa separacion</t>
  </si>
  <si>
    <t>EIMY PAMELA MOYA ALCANTARA</t>
  </si>
  <si>
    <t>Tiene hasta el 10/5 para hacer el pago de sa separacion</t>
  </si>
  <si>
    <t>OSMAYLIN RIVERA</t>
  </si>
  <si>
    <t>Tiene hasta el 17/5 para hacer el pago de sa separacion</t>
  </si>
  <si>
    <t>DISPONIBLE</t>
  </si>
  <si>
    <t>DAYANARA CRISTINA SORIANO POLANCO</t>
  </si>
  <si>
    <t>Tiene hasta el 30/4 para hacer el pago de sa separacion</t>
  </si>
  <si>
    <t>IMBERT PEREZ PEREZ</t>
  </si>
  <si>
    <t>DOES/AUTOPROPIEDAD</t>
  </si>
  <si>
    <t>LUISANA JOSEFINA JAQUEZ RAMIREZ</t>
  </si>
  <si>
    <t>VICTORIA YOKANY PUJOLS Y ANEUDY MOYA SORIANO</t>
  </si>
  <si>
    <t>Tiene hasta el 23 de abril para la separación</t>
  </si>
  <si>
    <t>YANIL BELEN MARTE</t>
  </si>
  <si>
    <t>Tiene hasta el 26/5 para hacer el pago de sa separacion</t>
  </si>
  <si>
    <t>GEIDIS DAVID CUEVAS NOVAS Y MARIA GUADALUPE PEREZ FERRERAS</t>
  </si>
  <si>
    <t>Inmoniliaria Reservas</t>
  </si>
  <si>
    <t>OLIVER NORT DE JESUS RICARDO Y LIANLLY MAIRINI URIBE GUZMAN</t>
  </si>
  <si>
    <t>E</t>
  </si>
  <si>
    <t>RAQUEL ALLISONS MATA PIMENTEL</t>
  </si>
  <si>
    <t>Tiene hasta el 20 de abril para la separación</t>
  </si>
  <si>
    <t>TAMARA MATA PIMENTEL</t>
  </si>
  <si>
    <t>PABLO JUNIOR ENCARNACION GARCIA , FRANKLYN MACKENSI CAPELLAN GUZMAN Y JORGE LUIS CAPELLAN GUZMAN`</t>
  </si>
  <si>
    <t>Tiene hasta el 20/5 para hacer el pago de sa separacion</t>
  </si>
  <si>
    <t>XAYMARIE NARVAEZ FIGUEROA</t>
  </si>
  <si>
    <t>YESSICA ROSSELY BRAZOBAN BRAZOBAN</t>
  </si>
  <si>
    <t>Tiene hasta el 30 de abril para la separación</t>
  </si>
  <si>
    <t>RAFFY ESMIEL MARTINEZ JAQUEZ</t>
  </si>
  <si>
    <t>DOES/CRISMELY</t>
  </si>
  <si>
    <t>MELISSA SANCHEZ ACOSTA</t>
  </si>
  <si>
    <t>Tiene hasta el 23/5 para hacer el pago de sa separacion</t>
  </si>
  <si>
    <t>MERCEDES ALTAGRACIA PICHARDO DE SUAREZ</t>
  </si>
  <si>
    <t>Tiene hasta el 26 de abril para la separación</t>
  </si>
  <si>
    <t>YARIEL NUÑEZ DIAZ</t>
  </si>
  <si>
    <t>LOFT HOME</t>
  </si>
  <si>
    <t>LIZ YAZMIN CASTRO</t>
  </si>
  <si>
    <t>Tiene hasta el 11/5 para la separación</t>
  </si>
  <si>
    <t>ELIZABETH DE LA CRUZ JEREZ</t>
  </si>
  <si>
    <t>DOES/TERRA HOME</t>
  </si>
  <si>
    <t>ALTAGRACIA CEVERINO POLANCO</t>
  </si>
  <si>
    <t>Tiene hasta el 21/5 para la separación</t>
  </si>
  <si>
    <t>NESTOR A. MARIA DOMINGUEZ</t>
  </si>
  <si>
    <t>LUIS MARIANO RODRIGUEZ DESPRADEL Y ANA LUISA DOMINGUEZ</t>
  </si>
  <si>
    <t>Tiene hasta el 1/04 para hacer el pago de sa separacion</t>
  </si>
  <si>
    <t>LUCAS DAMIAN MOYA GARCIA</t>
  </si>
  <si>
    <t>CLIENTA VIELE AL PAIS EL 3 DE JUNIO (SE VA A ESPERAR)</t>
  </si>
  <si>
    <t>YORCA ELIZABETH POLANCO BETHANCOURT</t>
  </si>
  <si>
    <t>KATTY ENCARNACION MONTERO</t>
  </si>
  <si>
    <t>NICOL ENCARNACION MONTERO</t>
  </si>
  <si>
    <t>PEDRO JOSE SORIANO PIMENTEL Y ORFELINA KATIUSCA MARTINEZ LAJARA</t>
  </si>
  <si>
    <t>ANA MERCEDES SANCHEZ PARRA</t>
  </si>
  <si>
    <t>GENESIS RODRIGUEZ AGUASVIVAS</t>
  </si>
  <si>
    <t>YENNY ANTONIO LORENZO PEREZ</t>
  </si>
  <si>
    <t>STEPHANI AURELINA BORROME</t>
  </si>
  <si>
    <t>AGUEDA SANCHEZ DE GROSS</t>
  </si>
  <si>
    <t>ENMANUEL SOTERO SORIANO MEJIA</t>
  </si>
  <si>
    <t>STEVEN VASQUEZ LANA</t>
  </si>
  <si>
    <t>YAMILKA ARIAS GALVA</t>
  </si>
  <si>
    <t>DOES/ALCASANCH INVESTMENT REAL ESTATE</t>
  </si>
  <si>
    <t>JOEL MARTE PEREZ</t>
  </si>
  <si>
    <t>YOCAIRA PAMELA PEREZ DEL ORBE</t>
  </si>
  <si>
    <t>ANA ESTHER CALDERON ORTIZ</t>
  </si>
  <si>
    <t>Tiene hasta el 30/04 para hacer el pago de sa separacion</t>
  </si>
  <si>
    <t>ALIX BERNARDO DURAN PEÑA</t>
  </si>
  <si>
    <t>RIGAUBERT YVRANCE PERCY</t>
  </si>
  <si>
    <t>Tiene hasta el 28/5 para hacer el pago de sa separacion</t>
  </si>
  <si>
    <t>ESTEFANY LISVETH SIERRA FERRERAS</t>
  </si>
  <si>
    <t>Tiene hasta el 14/5 para hacer el pago de sa separacion</t>
  </si>
  <si>
    <t>PALOMA ELIZABETH MORALES GUILAMO</t>
  </si>
  <si>
    <t>CLIENTA COMPLETARA EL 29 DE MAYO</t>
  </si>
  <si>
    <t>NELIS CABAN</t>
  </si>
  <si>
    <t>YOSILANNY LIBELIS LOPEZ DE FREITES</t>
  </si>
  <si>
    <t>ZOILA MADELIN PUJOLS DE LOS SANTOS</t>
  </si>
  <si>
    <t>Tiene hasta el 15 de mayo para la separación</t>
  </si>
  <si>
    <t>JORGE GABRIEL ORTIZ GUZMAN</t>
  </si>
  <si>
    <t>INAYELIN ESTHER LORENZO MEDINA</t>
  </si>
  <si>
    <t>Tiene hasta el 9 de mayo para la separación</t>
  </si>
  <si>
    <t>KIARA CHAVEZ DE MIR</t>
  </si>
  <si>
    <t>Tiene hasta el 7 de mayo para la separación</t>
  </si>
  <si>
    <t>AVTAR S VASU</t>
  </si>
  <si>
    <t>Tiene hasta el 1 de mayo para la separación</t>
  </si>
  <si>
    <t>JASPAL SINGH VASU</t>
  </si>
  <si>
    <t>GENESIS FABIOLA CACERES CAMPUSANO</t>
  </si>
  <si>
    <t>ANNY ESTEFANI MORA VILLALONA</t>
  </si>
  <si>
    <t>EAST HOME</t>
  </si>
  <si>
    <t>Tiene hasta el 21 de mayo para la separación</t>
  </si>
  <si>
    <t>MERCEDES NOEMI PAYANO TAVERAS DE ABREU</t>
  </si>
  <si>
    <t>AMARILIS RIVERA</t>
  </si>
  <si>
    <t>Tiene hasta el 21 de abril para la separación</t>
  </si>
  <si>
    <t>LUIS CARLOS MARTINEZ MARTINEZ</t>
  </si>
  <si>
    <t>Tiene hasta el 24 de mayo para la separación</t>
  </si>
  <si>
    <t>KEILA MARIBEL CRUZ</t>
  </si>
  <si>
    <t>Tiene hasta el 8 de mayo para la separación</t>
  </si>
  <si>
    <t xml:space="preserve">ALONDRA NICOL MORALES GUILAMO </t>
  </si>
  <si>
    <t>ANDREINA EMILIA DE LA CRUZ GERMOSEN</t>
  </si>
  <si>
    <t>EMILIANO ZAPATA ZARMONA</t>
  </si>
  <si>
    <t>Tiene hasta el 5 de mayo para la separación</t>
  </si>
  <si>
    <t xml:space="preserve">FRANCISCO GUILLERMO MATEO BAEZ </t>
  </si>
  <si>
    <t>DARLIN GABRIEL ALMANZAR BURGOS Y JULIKA VALESKA SANTANA TAVAREZ </t>
  </si>
  <si>
    <t>DOES/PS Inmobiliaira</t>
  </si>
  <si>
    <t>LAURA MARINA SANTANA DISLA</t>
  </si>
  <si>
    <t>Tiene hasta el 2 de mayo para la separación</t>
  </si>
  <si>
    <t>LEONEL SOSA RODRIGUEZ</t>
  </si>
  <si>
    <t>Tiene hasta el 27 de mayo para la separación</t>
  </si>
  <si>
    <t>PABLO JUNIOR ENCARNACION GARCIA , FRANKLYN MACKENSI CAPELLAN GUZMAN Y JORGE LUIS CAPELLAN GUZMAN</t>
  </si>
  <si>
    <t>Tiene hasta el 20 de mayo para la separación</t>
  </si>
  <si>
    <t>MASSIEL CAROLINA CUELLO MONEGRO Y LEONEL MAYOVANEX MOTA REYES</t>
  </si>
  <si>
    <t>Tiene hasta el 10 de mayo para la separación</t>
  </si>
  <si>
    <t>HENRI DE LOS SANTOS CUEVAS</t>
  </si>
  <si>
    <t>CARLOS LINARES CEBALLOS</t>
  </si>
  <si>
    <t>JUAN ANDRES MANCEBO</t>
  </si>
  <si>
    <t>ZAIDA MARTINEZ</t>
  </si>
  <si>
    <t>JOSE FRANCISCO</t>
  </si>
  <si>
    <t>Tiene hasta el 22 de mayo para la separación</t>
  </si>
  <si>
    <t>MARGARITA ROSA REYES HIRALDO</t>
  </si>
  <si>
    <t>MELANY PAOLA BATISTA RODRIGUEZ</t>
  </si>
  <si>
    <t>ALEJANDRIA BRATINIL GARCIA DE HANDFIELD</t>
  </si>
  <si>
    <t>Tiene hasta el 17 de mayo para la separación</t>
  </si>
  <si>
    <t>CARMEN YOLANDA ECHAVARRIA PEREZ</t>
  </si>
  <si>
    <t>Tiene hasta el 18 de mayo para la separación</t>
  </si>
  <si>
    <t>LISBETH DOMINGUEZ</t>
  </si>
  <si>
    <t>RITA MERCEDES ACEVEDO ABREU</t>
  </si>
  <si>
    <t>MARIAH DANIELLE BALLARD</t>
  </si>
  <si>
    <t>Tiene hasta el 6 de mayo para la separación</t>
  </si>
  <si>
    <t>EVELYN ELIZABETH DE LA CRUZ Y JAIME JUNIOR URIBE</t>
  </si>
  <si>
    <t>WILMER ALMANZAR PEGUERO</t>
  </si>
  <si>
    <t>Tiene hasta el 26 de mayo para la separación</t>
  </si>
  <si>
    <t>DANIEL ALEXANDER BELEN</t>
  </si>
  <si>
    <t>Tiene hasta el 28 de mayo para la separación</t>
  </si>
  <si>
    <t>QUISANI MERCEDES BATISTA DE OLEO</t>
  </si>
  <si>
    <t>JUSTINE ANTONIA CABASSA</t>
  </si>
  <si>
    <t>Tiene hasta el 25 de mayo para la separación</t>
  </si>
  <si>
    <t>AURIS MERCEDES PAREDES SOLIS</t>
  </si>
  <si>
    <t>LEONARDO ANTONIO TELLERIA SUERO</t>
  </si>
  <si>
    <t>DOES/Yessy master Home</t>
  </si>
  <si>
    <t>CAONABO JAVIER RAVELO OLIVER</t>
  </si>
  <si>
    <t>ROSILENI ALMONTE MOYA</t>
  </si>
  <si>
    <t>CRISTOPHER MARIANO</t>
  </si>
  <si>
    <t>GISSEL BEXAME MELO HERRERA</t>
  </si>
  <si>
    <t>AYLING ALTAGRACIA ABREU MONTE DE OCA</t>
  </si>
  <si>
    <t>JONATAN ALFONSO MANCEBO</t>
  </si>
  <si>
    <t>NURILENNY BAEZ BOCIO</t>
  </si>
  <si>
    <t>82.09+46.1 Terraza</t>
  </si>
  <si>
    <t>85.98+48.6 Terraza</t>
  </si>
  <si>
    <t>61.74+39.77 Terraza</t>
  </si>
  <si>
    <t>76.02+47.2 Terraza</t>
  </si>
  <si>
    <t>76.67+44.48 Terraza</t>
  </si>
  <si>
    <t>76.34+22.29 PATIO</t>
  </si>
  <si>
    <t>76.34+37.48 Terraza</t>
  </si>
  <si>
    <t>Area</t>
  </si>
  <si>
    <t>unidad</t>
  </si>
  <si>
    <t>No. baños</t>
  </si>
  <si>
    <t>B-A-101</t>
  </si>
  <si>
    <t>B-A-102</t>
  </si>
  <si>
    <t>B-A-201</t>
  </si>
  <si>
    <t>B-A-202</t>
  </si>
  <si>
    <t>B-A-301</t>
  </si>
  <si>
    <t>B-A-302</t>
  </si>
  <si>
    <t>B-A-401</t>
  </si>
  <si>
    <t>B-A-402</t>
  </si>
  <si>
    <t>B-B-101</t>
  </si>
  <si>
    <t>B-B-102</t>
  </si>
  <si>
    <t>B-B-201</t>
  </si>
  <si>
    <t>B-B-202</t>
  </si>
  <si>
    <t>B-B-301</t>
  </si>
  <si>
    <t>B-B-302</t>
  </si>
  <si>
    <t>B-B-401</t>
  </si>
  <si>
    <t>B-B-402</t>
  </si>
  <si>
    <t>B-C-101</t>
  </si>
  <si>
    <t>B-C-102</t>
  </si>
  <si>
    <t>B-C-201</t>
  </si>
  <si>
    <t>B-C-202</t>
  </si>
  <si>
    <t>B-C-301</t>
  </si>
  <si>
    <t>B-C-302</t>
  </si>
  <si>
    <t>B-C-401</t>
  </si>
  <si>
    <t>B-C-402</t>
  </si>
  <si>
    <t>B-D-101</t>
  </si>
  <si>
    <t>B-D-102</t>
  </si>
  <si>
    <t>B-D-201</t>
  </si>
  <si>
    <t>B-D-202</t>
  </si>
  <si>
    <t>B-D-301</t>
  </si>
  <si>
    <t>B-D-302</t>
  </si>
  <si>
    <t>B-D-401</t>
  </si>
  <si>
    <t>B-D-402</t>
  </si>
  <si>
    <t>B-E-101</t>
  </si>
  <si>
    <t>B-E-102</t>
  </si>
  <si>
    <t>B-E-201</t>
  </si>
  <si>
    <t>B-E-202</t>
  </si>
  <si>
    <t>B-E-301</t>
  </si>
  <si>
    <t>B-E-302</t>
  </si>
  <si>
    <t>B-E-401</t>
  </si>
  <si>
    <t>B-E-402</t>
  </si>
  <si>
    <t>B-F-101</t>
  </si>
  <si>
    <t>B-F-102</t>
  </si>
  <si>
    <t>B-F-201</t>
  </si>
  <si>
    <t>B-F-202</t>
  </si>
  <si>
    <t>B-F-301</t>
  </si>
  <si>
    <t>B-F-302</t>
  </si>
  <si>
    <t>B-F-401</t>
  </si>
  <si>
    <t>B-F-402</t>
  </si>
  <si>
    <t>B-G-101</t>
  </si>
  <si>
    <t>B-G-102</t>
  </si>
  <si>
    <t>B-G-201</t>
  </si>
  <si>
    <t>B-G-202</t>
  </si>
  <si>
    <t>B-G-301</t>
  </si>
  <si>
    <t>B-G-302</t>
  </si>
  <si>
    <t>B-G-401</t>
  </si>
  <si>
    <t>B-G-402</t>
  </si>
  <si>
    <t>B-H-101</t>
  </si>
  <si>
    <t>B-H-102</t>
  </si>
  <si>
    <t>B-H-201</t>
  </si>
  <si>
    <t>B-H-202</t>
  </si>
  <si>
    <t>B-H-301</t>
  </si>
  <si>
    <t>B-H-302</t>
  </si>
  <si>
    <t>B-H-401</t>
  </si>
  <si>
    <t>B-H-402</t>
  </si>
  <si>
    <t>A-I-101</t>
  </si>
  <si>
    <t>A-I-102</t>
  </si>
  <si>
    <t>A-I-103</t>
  </si>
  <si>
    <t>A-I-104</t>
  </si>
  <si>
    <t>A-I-201</t>
  </si>
  <si>
    <t>A-I-202</t>
  </si>
  <si>
    <t>A-I-203</t>
  </si>
  <si>
    <t>A-I-204</t>
  </si>
  <si>
    <t>A-I-301</t>
  </si>
  <si>
    <t>A-I-302</t>
  </si>
  <si>
    <t>A-I-303</t>
  </si>
  <si>
    <t>A-I-304</t>
  </si>
  <si>
    <t>A-I-401</t>
  </si>
  <si>
    <t>A-I-402</t>
  </si>
  <si>
    <t>A-I-403</t>
  </si>
  <si>
    <t>A-I-404</t>
  </si>
  <si>
    <t>A-J-101</t>
  </si>
  <si>
    <t>A-J-102</t>
  </si>
  <si>
    <t>A-J-103</t>
  </si>
  <si>
    <t>A-J-104</t>
  </si>
  <si>
    <t>A-J-201</t>
  </si>
  <si>
    <t>A-J-202</t>
  </si>
  <si>
    <t>A-J-203</t>
  </si>
  <si>
    <t>A-J-204</t>
  </si>
  <si>
    <t>A-J-301</t>
  </si>
  <si>
    <t>A-J-302</t>
  </si>
  <si>
    <t>A-J-303</t>
  </si>
  <si>
    <t>A-J-304</t>
  </si>
  <si>
    <t>A-J-401</t>
  </si>
  <si>
    <t>A-J-402</t>
  </si>
  <si>
    <t>A-J-403</t>
  </si>
  <si>
    <t>A-J-404</t>
  </si>
  <si>
    <t>A-K-101</t>
  </si>
  <si>
    <t>A-K-102</t>
  </si>
  <si>
    <t>A-K-103</t>
  </si>
  <si>
    <t>A-K-104</t>
  </si>
  <si>
    <t>A-K-202</t>
  </si>
  <si>
    <t>A-K-201</t>
  </si>
  <si>
    <t>A-K-203</t>
  </si>
  <si>
    <t>A-K-204</t>
  </si>
  <si>
    <t>A-K-301</t>
  </si>
  <si>
    <t>A-K-302</t>
  </si>
  <si>
    <t>A-K-303</t>
  </si>
  <si>
    <t>A-K-304</t>
  </si>
  <si>
    <t>A-K-401</t>
  </si>
  <si>
    <t>A-K-402</t>
  </si>
  <si>
    <t>A-K-403</t>
  </si>
  <si>
    <t>A-K-404</t>
  </si>
  <si>
    <t>C-L-101</t>
  </si>
  <si>
    <t>C-L-102</t>
  </si>
  <si>
    <t>C-L-103</t>
  </si>
  <si>
    <t>C-L-104</t>
  </si>
  <si>
    <t>C-L-201</t>
  </si>
  <si>
    <t>C-L-202</t>
  </si>
  <si>
    <t>C-L-203</t>
  </si>
  <si>
    <t>C-L-204</t>
  </si>
  <si>
    <t>C-L-301</t>
  </si>
  <si>
    <t>C-L-302</t>
  </si>
  <si>
    <t>C-L-303</t>
  </si>
  <si>
    <t>C-L-304</t>
  </si>
  <si>
    <t>C-L-401</t>
  </si>
  <si>
    <t>C-L-402</t>
  </si>
  <si>
    <t>C-L-403</t>
  </si>
  <si>
    <t>C-L-404</t>
  </si>
  <si>
    <t>C-M-101</t>
  </si>
  <si>
    <t>C-M-102</t>
  </si>
  <si>
    <t>C-M-103</t>
  </si>
  <si>
    <t>C-M-104</t>
  </si>
  <si>
    <t>C-M-201</t>
  </si>
  <si>
    <t>C-M-202</t>
  </si>
  <si>
    <t>C-M-203</t>
  </si>
  <si>
    <t>C-M-204</t>
  </si>
  <si>
    <t>C-M-301</t>
  </si>
  <si>
    <t>C-M-302</t>
  </si>
  <si>
    <t>C-M-303</t>
  </si>
  <si>
    <t>C-M-304</t>
  </si>
  <si>
    <t>C-M-401</t>
  </si>
  <si>
    <t>C-M-402</t>
  </si>
  <si>
    <t>C-M-403</t>
  </si>
  <si>
    <t>C-M-404</t>
  </si>
  <si>
    <t>C-N-101</t>
  </si>
  <si>
    <t>C-N-102</t>
  </si>
  <si>
    <t>C-N-103</t>
  </si>
  <si>
    <t>C-N-104</t>
  </si>
  <si>
    <t>C-N-201</t>
  </si>
  <si>
    <t>C-N-202</t>
  </si>
  <si>
    <t>C-N-203</t>
  </si>
  <si>
    <t>C-N-204</t>
  </si>
  <si>
    <t>C-N-301</t>
  </si>
  <si>
    <t>C-N-302</t>
  </si>
  <si>
    <t>C-N-303</t>
  </si>
  <si>
    <t>C-N-304</t>
  </si>
  <si>
    <t>C-N-401</t>
  </si>
  <si>
    <t>C-N-402</t>
  </si>
  <si>
    <t>C-N-403</t>
  </si>
  <si>
    <t>C-N-404</t>
  </si>
  <si>
    <t>C-Ñ-101</t>
  </si>
  <si>
    <t>C-Ñ-102</t>
  </si>
  <si>
    <t>C-Ñ-103</t>
  </si>
  <si>
    <t>C-Ñ-104</t>
  </si>
  <si>
    <t>C-Ñ-201</t>
  </si>
  <si>
    <t>C-Ñ-202</t>
  </si>
  <si>
    <t>C-Ñ-203</t>
  </si>
  <si>
    <t>C-Ñ-204</t>
  </si>
  <si>
    <t>C-Ñ-301</t>
  </si>
  <si>
    <t>C-Ñ-302</t>
  </si>
  <si>
    <t>C-Ñ-303</t>
  </si>
  <si>
    <t>C-Ñ-304</t>
  </si>
  <si>
    <t>C-Ñ-401</t>
  </si>
  <si>
    <t>C-Ñ-402</t>
  </si>
  <si>
    <t>C-Ñ-403</t>
  </si>
  <si>
    <t>C-Ñ-404</t>
  </si>
  <si>
    <t>No Cuartos</t>
  </si>
  <si>
    <t>SEPARACIÓN</t>
  </si>
  <si>
    <t>Administracion DOES</t>
  </si>
  <si>
    <t>FECHA FIN BLOQUEO/ PAGO SEPARACION</t>
  </si>
  <si>
    <t>Cliente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</si>
</sst>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C0A]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2"/>
      <name val="Arial"/>
      <family val="2"/>
    </font>
    <font>
      <b/>
      <sz val="1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0" borderId="4" xfId="0" applyBorder="1"/>
    <xf numFmtId="14" fontId="0" fillId="0" borderId="0" xfId="0" applyNumberFormat="1"/>
    <xf numFmtId="14" fontId="1" fillId="3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0" borderId="3" xfId="0" applyFont="1" applyBorder="1"/>
    <xf numFmtId="164" fontId="7" fillId="2" borderId="3" xfId="0" applyNumberFormat="1" applyFont="1" applyFill="1" applyBorder="1" applyAlignment="1">
      <alignment horizontal="center"/>
    </xf>
    <xf numFmtId="164" fontId="7" fillId="2" borderId="3" xfId="0" applyNumberFormat="1" applyFont="1" applyFill="1" applyBorder="1"/>
    <xf numFmtId="0" fontId="4" fillId="0" borderId="3" xfId="0" applyFont="1" applyBorder="1"/>
    <xf numFmtId="0" fontId="0" fillId="0" borderId="3" xfId="0" applyBorder="1"/>
    <xf numFmtId="14" fontId="0" fillId="0" borderId="3" xfId="0" applyNumberFormat="1" applyBorder="1"/>
    <xf numFmtId="164" fontId="0" fillId="0" borderId="3" xfId="0" applyNumberFormat="1" applyBorder="1" applyAlignment="1">
      <alignment vertical="center"/>
    </xf>
    <xf numFmtId="164" fontId="0" fillId="0" borderId="3" xfId="0" applyNumberFormat="1" applyBorder="1"/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164" fontId="0" fillId="2" borderId="3" xfId="0" applyNumberFormat="1" applyFill="1" applyBorder="1"/>
    <xf numFmtId="164" fontId="0" fillId="2" borderId="3" xfId="0" applyNumberForma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/>
    </xf>
    <xf numFmtId="14" fontId="0" fillId="8" borderId="3" xfId="0" applyNumberFormat="1" applyFill="1" applyBorder="1" applyAlignment="1">
      <alignment wrapText="1"/>
    </xf>
    <xf numFmtId="14" fontId="0" fillId="4" borderId="3" xfId="0" applyNumberFormat="1" applyFill="1" applyBorder="1" applyAlignment="1">
      <alignment wrapText="1"/>
    </xf>
    <xf numFmtId="164" fontId="5" fillId="4" borderId="3" xfId="0" applyNumberFormat="1" applyFont="1" applyFill="1" applyBorder="1" applyAlignment="1">
      <alignment horizontal="center"/>
    </xf>
    <xf numFmtId="0" fontId="0" fillId="2" borderId="3" xfId="0" applyFill="1" applyBorder="1"/>
    <xf numFmtId="14" fontId="0" fillId="2" borderId="3" xfId="0" applyNumberFormat="1" applyFill="1" applyBorder="1"/>
    <xf numFmtId="14" fontId="0" fillId="2" borderId="3" xfId="0" applyNumberFormat="1" applyFill="1" applyBorder="1" applyAlignment="1">
      <alignment wrapText="1"/>
    </xf>
    <xf numFmtId="14" fontId="0" fillId="7" borderId="3" xfId="0" applyNumberFormat="1" applyFill="1" applyBorder="1" applyAlignment="1">
      <alignment wrapText="1"/>
    </xf>
    <xf numFmtId="14" fontId="1" fillId="8" borderId="3" xfId="0" applyNumberFormat="1" applyFont="1" applyFill="1" applyBorder="1" applyAlignment="1">
      <alignment wrapText="1"/>
    </xf>
    <xf numFmtId="14" fontId="1" fillId="8" borderId="3" xfId="0" applyNumberFormat="1" applyFont="1" applyFill="1" applyBorder="1" applyAlignment="1">
      <alignment horizontal="right" wrapText="1"/>
    </xf>
    <xf numFmtId="0" fontId="6" fillId="0" borderId="3" xfId="0" applyFont="1" applyBorder="1"/>
    <xf numFmtId="14" fontId="6" fillId="0" borderId="3" xfId="0" applyNumberFormat="1" applyFont="1" applyBorder="1"/>
    <xf numFmtId="14" fontId="4" fillId="8" borderId="3" xfId="0" applyNumberFormat="1" applyFont="1" applyFill="1" applyBorder="1" applyAlignment="1">
      <alignment wrapText="1"/>
    </xf>
    <xf numFmtId="14" fontId="0" fillId="0" borderId="3" xfId="0" applyNumberFormat="1" applyBorder="1" applyAlignment="1">
      <alignment wrapText="1"/>
    </xf>
    <xf numFmtId="14" fontId="9" fillId="9" borderId="3" xfId="0" applyNumberFormat="1" applyFont="1" applyFill="1" applyBorder="1" applyAlignment="1">
      <alignment wrapText="1"/>
    </xf>
    <xf numFmtId="164" fontId="0" fillId="4" borderId="3" xfId="0" applyNumberFormat="1" applyFill="1" applyBorder="1" applyAlignment="1">
      <alignment horizontal="center" vertical="center"/>
    </xf>
    <xf numFmtId="14" fontId="0" fillId="4" borderId="3" xfId="0" applyNumberFormat="1" applyFill="1" applyBorder="1"/>
    <xf numFmtId="14" fontId="0" fillId="7" borderId="3" xfId="0" applyNumberFormat="1" applyFill="1" applyBorder="1"/>
    <xf numFmtId="14" fontId="0" fillId="6" borderId="3" xfId="0" applyNumberFormat="1" applyFill="1" applyBorder="1"/>
    <xf numFmtId="14" fontId="0" fillId="6" borderId="3" xfId="0" applyNumberFormat="1" applyFill="1" applyBorder="1" applyAlignment="1">
      <alignment wrapText="1"/>
    </xf>
    <xf numFmtId="164" fontId="1" fillId="4" borderId="3" xfId="0" applyNumberFormat="1" applyFont="1" applyFill="1" applyBorder="1" applyAlignment="1">
      <alignment horizontal="center" vertical="center"/>
    </xf>
    <xf numFmtId="14" fontId="8" fillId="7" borderId="3" xfId="0" applyNumberFormat="1" applyFont="1" applyFill="1" applyBorder="1"/>
    <xf numFmtId="1" fontId="10" fillId="8" borderId="6" xfId="0" applyNumberFormat="1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49" fontId="10" fillId="8" borderId="6" xfId="0" applyNumberFormat="1" applyFont="1" applyFill="1" applyBorder="1" applyAlignment="1">
      <alignment horizontal="center" vertical="center" wrapText="1"/>
    </xf>
    <xf numFmtId="164" fontId="1" fillId="10" borderId="3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wrapText="1"/>
    </xf>
    <xf numFmtId="0" fontId="7" fillId="0" borderId="0" xfId="0" applyFont="1"/>
    <xf numFmtId="0" fontId="11" fillId="3" borderId="5" xfId="0" applyFont="1" applyFill="1" applyBorder="1" applyAlignment="1">
      <alignment horizontal="center" vertical="center"/>
    </xf>
    <xf numFmtId="0" fontId="11" fillId="0" borderId="3" xfId="0" applyFont="1" applyBorder="1"/>
    <xf numFmtId="0" fontId="12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0" borderId="3" xfId="0" applyFont="1" applyBorder="1"/>
    <xf numFmtId="0" fontId="12" fillId="0" borderId="0" xfId="0" applyFont="1"/>
  </cellXfs>
  <cellStyles count="1">
    <cellStyle name="Normal" xfId="0" builtinId="0"/>
  </cellStyles>
  <dxfs count="23">
    <dxf>
      <font>
        <color theme="2" tint="-0.89999084444715716"/>
      </font>
      <fill>
        <patternFill patternType="solid">
          <bgColor rgb="FFC6EFCE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2" tint="-0.89999084444715716"/>
      </font>
      <fill>
        <patternFill patternType="solid">
          <bgColor rgb="FFC6EFCE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2" tint="-0.89999084444715716"/>
      </font>
      <fill>
        <patternFill patternType="solid">
          <bgColor rgb="FFC6EFCE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97193</xdr:colOff>
      <xdr:row>0</xdr:row>
      <xdr:rowOff>106915</xdr:rowOff>
    </xdr:from>
    <xdr:to>
      <xdr:col>7</xdr:col>
      <xdr:colOff>126067</xdr:colOff>
      <xdr:row>6</xdr:row>
      <xdr:rowOff>27786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424373-E9B7-4FEB-9363-FAD82D33B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93" y="106915"/>
          <a:ext cx="2894629" cy="1123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D9AA-986F-473C-96BF-9EF30E296791}">
  <dimension ref="A1:T183"/>
  <sheetViews>
    <sheetView tabSelected="1" view="pageBreakPreview" topLeftCell="A7" zoomScaleNormal="100" zoomScaleSheetLayoutView="100" workbookViewId="0">
      <pane ySplit="1" topLeftCell="A8" activePane="bottomLeft" state="frozen"/>
      <selection activeCell="O7" sqref="O7"/>
      <selection pane="bottomLeft" activeCell="G7" sqref="G7"/>
    </sheetView>
  </sheetViews>
  <sheetFormatPr baseColWidth="10" defaultColWidth="11.44140625" defaultRowHeight="15" customHeight="1" x14ac:dyDescent="0.3"/>
  <cols>
    <col min="2" max="2" width="17.21875" customWidth="1"/>
    <col min="3" max="3" width="10.21875" customWidth="1"/>
    <col min="4" max="4" width="8.6640625" customWidth="1"/>
    <col min="5" max="5" width="6.33203125" customWidth="1"/>
    <col min="6" max="6" width="8.5546875" customWidth="1"/>
    <col min="7" max="7" width="9.109375" customWidth="1"/>
    <col min="8" max="8" width="40.44140625" style="64" customWidth="1"/>
    <col min="9" max="9" width="19.6640625" customWidth="1"/>
    <col min="10" max="10" width="19.109375" customWidth="1"/>
    <col min="11" max="11" width="17.6640625" customWidth="1"/>
    <col min="12" max="12" width="15.88671875" customWidth="1"/>
    <col min="13" max="13" width="18.109375" customWidth="1"/>
    <col min="14" max="14" width="14.88671875" customWidth="1"/>
    <col min="15" max="15" width="25.88671875" customWidth="1"/>
    <col min="16" max="16" width="19" customWidth="1"/>
    <col min="17" max="17" width="19.77734375" style="11" customWidth="1"/>
    <col min="18" max="18" width="25.109375" style="11" customWidth="1"/>
    <col min="19" max="19" width="51.33203125" style="58" bestFit="1" customWidth="1"/>
  </cols>
  <sheetData>
    <row r="1" spans="1:20" ht="14.4" x14ac:dyDescent="0.3">
      <c r="C1" s="1"/>
      <c r="D1" s="1"/>
      <c r="H1"/>
      <c r="I1" s="2"/>
      <c r="J1" s="3"/>
      <c r="K1" s="2"/>
      <c r="L1" s="3"/>
      <c r="M1" s="2"/>
      <c r="N1" s="2"/>
      <c r="O1" s="2"/>
    </row>
    <row r="2" spans="1:20" ht="14.4" x14ac:dyDescent="0.3">
      <c r="C2" s="1"/>
      <c r="D2" s="1"/>
      <c r="H2"/>
      <c r="I2" s="2"/>
      <c r="J2" s="3"/>
      <c r="K2" s="2"/>
      <c r="L2" s="3"/>
      <c r="M2" s="2"/>
      <c r="N2" s="2"/>
      <c r="O2" s="2"/>
    </row>
    <row r="3" spans="1:20" ht="14.4" x14ac:dyDescent="0.3">
      <c r="C3" s="1"/>
      <c r="D3" s="1"/>
      <c r="H3"/>
      <c r="I3" s="2"/>
      <c r="J3" s="3"/>
      <c r="K3" s="2"/>
      <c r="L3" s="3"/>
      <c r="M3" s="2"/>
      <c r="N3" s="2"/>
      <c r="O3" s="2"/>
    </row>
    <row r="4" spans="1:20" ht="14.4" x14ac:dyDescent="0.3">
      <c r="C4" s="1"/>
      <c r="D4" s="1"/>
      <c r="H4"/>
      <c r="I4" s="2"/>
      <c r="J4" s="3"/>
      <c r="K4" s="2"/>
      <c r="L4" s="3"/>
      <c r="M4" s="2"/>
      <c r="N4" s="2"/>
      <c r="O4" s="2"/>
    </row>
    <row r="5" spans="1:20" ht="14.4" x14ac:dyDescent="0.3">
      <c r="C5" s="1"/>
      <c r="D5" s="1"/>
      <c r="H5"/>
      <c r="I5" s="2"/>
      <c r="J5" s="3"/>
      <c r="K5" s="2"/>
      <c r="L5" s="3"/>
      <c r="M5" s="2"/>
      <c r="N5" s="2"/>
      <c r="O5" s="2"/>
    </row>
    <row r="6" spans="1:20" thickBot="1" x14ac:dyDescent="0.35">
      <c r="C6" s="1"/>
      <c r="D6" s="1"/>
      <c r="H6"/>
      <c r="I6" s="2"/>
      <c r="J6" s="3"/>
      <c r="K6" s="2"/>
      <c r="L6" s="3"/>
      <c r="M6" s="2"/>
      <c r="N6" s="2"/>
      <c r="O6" s="2"/>
      <c r="P6" s="3"/>
    </row>
    <row r="7" spans="1:20" ht="82.5" customHeight="1" x14ac:dyDescent="0.3">
      <c r="A7" s="52" t="s">
        <v>198</v>
      </c>
      <c r="B7" s="52" t="s">
        <v>197</v>
      </c>
      <c r="C7" s="53" t="s">
        <v>376</v>
      </c>
      <c r="D7" s="54" t="s">
        <v>199</v>
      </c>
      <c r="E7" s="4" t="s">
        <v>0</v>
      </c>
      <c r="F7" s="4" t="s">
        <v>1</v>
      </c>
      <c r="G7" s="4" t="s">
        <v>2</v>
      </c>
      <c r="H7" s="13" t="s">
        <v>3</v>
      </c>
      <c r="I7" s="5" t="s">
        <v>4</v>
      </c>
      <c r="J7" s="4" t="s">
        <v>5</v>
      </c>
      <c r="K7" s="4" t="s">
        <v>6</v>
      </c>
      <c r="L7" s="4" t="s">
        <v>7</v>
      </c>
      <c r="M7" s="6" t="s">
        <v>8</v>
      </c>
      <c r="N7" s="14" t="s">
        <v>9</v>
      </c>
      <c r="O7" s="7" t="s">
        <v>10</v>
      </c>
      <c r="P7" s="15" t="s">
        <v>11</v>
      </c>
      <c r="Q7" s="12" t="s">
        <v>12</v>
      </c>
      <c r="R7" s="56" t="s">
        <v>379</v>
      </c>
      <c r="S7" s="59" t="s">
        <v>13</v>
      </c>
      <c r="T7" s="10"/>
    </row>
    <row r="8" spans="1:20" ht="13.5" customHeight="1" x14ac:dyDescent="0.3">
      <c r="A8" s="22" t="s">
        <v>200</v>
      </c>
      <c r="B8" s="22" t="s">
        <v>195</v>
      </c>
      <c r="C8" s="8">
        <v>3</v>
      </c>
      <c r="D8" s="8">
        <v>2</v>
      </c>
      <c r="E8" s="8" t="s">
        <v>16</v>
      </c>
      <c r="F8" s="8">
        <v>1</v>
      </c>
      <c r="G8" s="8">
        <v>1</v>
      </c>
      <c r="H8" s="16" t="s">
        <v>17</v>
      </c>
      <c r="I8" s="9">
        <v>75958.3</v>
      </c>
      <c r="J8" s="9">
        <v>500</v>
      </c>
      <c r="K8" s="9">
        <v>3297.9150000000004</v>
      </c>
      <c r="L8" s="28">
        <f>+I8*15%</f>
        <v>11393.745000000001</v>
      </c>
      <c r="M8" s="9">
        <f>+L8/24</f>
        <v>474.73937500000005</v>
      </c>
      <c r="N8" s="29">
        <f>+I8-L8-J8-K8</f>
        <v>60766.64</v>
      </c>
      <c r="O8" s="55" t="s">
        <v>20</v>
      </c>
      <c r="P8" s="22" t="s">
        <v>19</v>
      </c>
      <c r="Q8" s="23">
        <v>46074</v>
      </c>
      <c r="R8" s="31">
        <v>46102</v>
      </c>
      <c r="S8" s="60"/>
    </row>
    <row r="9" spans="1:20" ht="14.4" x14ac:dyDescent="0.3">
      <c r="A9" s="22" t="s">
        <v>201</v>
      </c>
      <c r="B9" s="22" t="s">
        <v>195</v>
      </c>
      <c r="C9" s="8">
        <v>3</v>
      </c>
      <c r="D9" s="8">
        <v>2</v>
      </c>
      <c r="E9" s="8" t="s">
        <v>16</v>
      </c>
      <c r="F9" s="8">
        <v>1</v>
      </c>
      <c r="G9" s="8">
        <v>1</v>
      </c>
      <c r="H9" s="16" t="s">
        <v>21</v>
      </c>
      <c r="I9" s="9">
        <v>75958.3</v>
      </c>
      <c r="J9" s="9">
        <v>500</v>
      </c>
      <c r="K9" s="9">
        <v>3297.9150000000004</v>
      </c>
      <c r="L9" s="28">
        <f t="shared" ref="L9:L87" si="0">+I9*15%</f>
        <v>11393.745000000001</v>
      </c>
      <c r="M9" s="9">
        <f t="shared" ref="M9:M87" si="1">+L9/24</f>
        <v>474.73937500000005</v>
      </c>
      <c r="N9" s="29">
        <f t="shared" ref="N9:N31" si="2">+I9-L9-J9-K9</f>
        <v>60766.64</v>
      </c>
      <c r="O9" s="30" t="s">
        <v>377</v>
      </c>
      <c r="P9" s="22" t="s">
        <v>22</v>
      </c>
      <c r="Q9" s="23">
        <v>46084</v>
      </c>
      <c r="R9" s="32">
        <v>46115</v>
      </c>
      <c r="S9" s="60"/>
    </row>
    <row r="10" spans="1:20" ht="14.4" x14ac:dyDescent="0.3">
      <c r="A10" s="22" t="s">
        <v>202</v>
      </c>
      <c r="B10" s="22"/>
      <c r="C10" s="8">
        <v>3</v>
      </c>
      <c r="D10" s="8">
        <v>2</v>
      </c>
      <c r="E10" s="8" t="s">
        <v>16</v>
      </c>
      <c r="F10" s="8">
        <v>2</v>
      </c>
      <c r="G10" s="8">
        <v>1</v>
      </c>
      <c r="H10" s="16" t="s">
        <v>23</v>
      </c>
      <c r="I10" s="9">
        <v>70232.800000000003</v>
      </c>
      <c r="J10" s="9">
        <v>500</v>
      </c>
      <c r="K10" s="9">
        <v>3011.6400000000003</v>
      </c>
      <c r="L10" s="28">
        <f t="shared" si="0"/>
        <v>10534.92</v>
      </c>
      <c r="M10" s="9">
        <f t="shared" si="1"/>
        <v>438.95499999999998</v>
      </c>
      <c r="N10" s="29">
        <f t="shared" si="2"/>
        <v>56186.240000000005</v>
      </c>
      <c r="O10" s="33" t="s">
        <v>18</v>
      </c>
      <c r="P10" s="34" t="s">
        <v>19</v>
      </c>
      <c r="Q10" s="35">
        <v>46139</v>
      </c>
      <c r="R10" s="36">
        <v>46169</v>
      </c>
      <c r="S10" s="18" t="s">
        <v>24</v>
      </c>
    </row>
    <row r="11" spans="1:20" ht="14.4" x14ac:dyDescent="0.3">
      <c r="A11" s="22" t="s">
        <v>203</v>
      </c>
      <c r="B11" s="22"/>
      <c r="C11" s="8">
        <v>3</v>
      </c>
      <c r="D11" s="8">
        <v>2</v>
      </c>
      <c r="E11" s="8" t="s">
        <v>16</v>
      </c>
      <c r="F11" s="8">
        <v>2</v>
      </c>
      <c r="G11" s="8">
        <v>1</v>
      </c>
      <c r="H11" s="16" t="s">
        <v>25</v>
      </c>
      <c r="I11" s="9">
        <v>70232.800000000003</v>
      </c>
      <c r="J11" s="9">
        <v>500</v>
      </c>
      <c r="K11" s="9">
        <v>3011.6400000000003</v>
      </c>
      <c r="L11" s="28">
        <f t="shared" si="0"/>
        <v>10534.92</v>
      </c>
      <c r="M11" s="9">
        <f t="shared" si="1"/>
        <v>438.95499999999998</v>
      </c>
      <c r="N11" s="29">
        <f t="shared" si="2"/>
        <v>56186.240000000005</v>
      </c>
      <c r="O11" s="30" t="s">
        <v>18</v>
      </c>
      <c r="P11" s="22" t="s">
        <v>19</v>
      </c>
      <c r="Q11" s="23">
        <v>46100</v>
      </c>
      <c r="R11" s="37">
        <v>46131</v>
      </c>
      <c r="S11" s="18" t="s">
        <v>26</v>
      </c>
    </row>
    <row r="12" spans="1:20" ht="14.4" x14ac:dyDescent="0.3">
      <c r="A12" s="22" t="s">
        <v>204</v>
      </c>
      <c r="B12" s="22"/>
      <c r="C12" s="8">
        <v>3</v>
      </c>
      <c r="D12" s="8">
        <v>2</v>
      </c>
      <c r="E12" s="8" t="s">
        <v>16</v>
      </c>
      <c r="F12" s="8">
        <v>3</v>
      </c>
      <c r="G12" s="8">
        <v>1</v>
      </c>
      <c r="H12" s="16" t="s">
        <v>27</v>
      </c>
      <c r="I12" s="9">
        <v>66415.8</v>
      </c>
      <c r="J12" s="9">
        <v>500</v>
      </c>
      <c r="K12" s="9">
        <v>2820.7900000000004</v>
      </c>
      <c r="L12" s="28">
        <f t="shared" si="0"/>
        <v>9962.3700000000008</v>
      </c>
      <c r="M12" s="9">
        <f t="shared" si="1"/>
        <v>415.09875000000005</v>
      </c>
      <c r="N12" s="29">
        <f t="shared" si="2"/>
        <v>53132.639999999999</v>
      </c>
      <c r="O12" s="30" t="s">
        <v>377</v>
      </c>
      <c r="P12" s="22" t="s">
        <v>28</v>
      </c>
      <c r="Q12" s="23">
        <v>46109</v>
      </c>
      <c r="R12" s="32">
        <v>46140</v>
      </c>
      <c r="S12" s="60"/>
    </row>
    <row r="13" spans="1:20" ht="15.75" customHeight="1" x14ac:dyDescent="0.3">
      <c r="A13" s="22" t="s">
        <v>205</v>
      </c>
      <c r="B13" s="22"/>
      <c r="C13" s="8">
        <v>3</v>
      </c>
      <c r="D13" s="8">
        <v>2</v>
      </c>
      <c r="E13" s="8" t="s">
        <v>16</v>
      </c>
      <c r="F13" s="8">
        <v>3</v>
      </c>
      <c r="G13" s="8">
        <v>1</v>
      </c>
      <c r="H13" s="16" t="s">
        <v>29</v>
      </c>
      <c r="I13" s="9">
        <v>66415.8</v>
      </c>
      <c r="J13" s="9">
        <v>500</v>
      </c>
      <c r="K13" s="9">
        <v>2820.7900000000004</v>
      </c>
      <c r="L13" s="28">
        <f t="shared" si="0"/>
        <v>9962.3700000000008</v>
      </c>
      <c r="M13" s="9">
        <f t="shared" si="1"/>
        <v>415.09875000000005</v>
      </c>
      <c r="N13" s="29">
        <f t="shared" si="2"/>
        <v>53132.639999999999</v>
      </c>
      <c r="O13" s="55" t="s">
        <v>20</v>
      </c>
      <c r="P13" s="22" t="s">
        <v>28</v>
      </c>
      <c r="Q13" s="23">
        <v>46097</v>
      </c>
      <c r="R13" s="38">
        <v>46128</v>
      </c>
      <c r="S13" s="60"/>
    </row>
    <row r="14" spans="1:20" ht="14.4" x14ac:dyDescent="0.3">
      <c r="A14" s="22" t="s">
        <v>206</v>
      </c>
      <c r="B14" s="22" t="s">
        <v>196</v>
      </c>
      <c r="C14" s="8">
        <v>3</v>
      </c>
      <c r="D14" s="8">
        <v>2</v>
      </c>
      <c r="E14" s="8" t="s">
        <v>16</v>
      </c>
      <c r="F14" s="8">
        <v>4</v>
      </c>
      <c r="G14" s="8">
        <v>1</v>
      </c>
      <c r="H14" s="16" t="s">
        <v>30</v>
      </c>
      <c r="I14" s="9">
        <v>75958.3</v>
      </c>
      <c r="J14" s="9">
        <v>500</v>
      </c>
      <c r="K14" s="9">
        <v>3297.9150000000004</v>
      </c>
      <c r="L14" s="28">
        <f t="shared" si="0"/>
        <v>11393.745000000001</v>
      </c>
      <c r="M14" s="9">
        <f t="shared" si="1"/>
        <v>474.73937500000005</v>
      </c>
      <c r="N14" s="29">
        <f t="shared" si="2"/>
        <v>60766.64</v>
      </c>
      <c r="O14" s="55" t="s">
        <v>20</v>
      </c>
      <c r="P14" s="22" t="s">
        <v>19</v>
      </c>
      <c r="Q14" s="23">
        <v>46076</v>
      </c>
      <c r="R14" s="39">
        <v>46104</v>
      </c>
      <c r="S14" s="60"/>
    </row>
    <row r="15" spans="1:20" ht="14.4" x14ac:dyDescent="0.3">
      <c r="A15" s="22" t="s">
        <v>207</v>
      </c>
      <c r="B15" s="22" t="s">
        <v>196</v>
      </c>
      <c r="C15" s="8">
        <v>3</v>
      </c>
      <c r="D15" s="8">
        <v>2</v>
      </c>
      <c r="E15" s="8" t="s">
        <v>16</v>
      </c>
      <c r="F15" s="8">
        <v>4</v>
      </c>
      <c r="G15" s="8">
        <v>1</v>
      </c>
      <c r="H15" s="16"/>
      <c r="I15" s="9">
        <v>75958.3</v>
      </c>
      <c r="J15" s="9">
        <v>500</v>
      </c>
      <c r="K15" s="9">
        <v>3297.9150000000004</v>
      </c>
      <c r="L15" s="28">
        <f t="shared" si="0"/>
        <v>11393.745000000001</v>
      </c>
      <c r="M15" s="9">
        <f t="shared" si="1"/>
        <v>474.73937500000005</v>
      </c>
      <c r="N15" s="29">
        <f t="shared" si="2"/>
        <v>60766.64</v>
      </c>
      <c r="O15" s="30" t="s">
        <v>53</v>
      </c>
      <c r="P15" s="22"/>
      <c r="Q15" s="23"/>
      <c r="R15" s="57"/>
      <c r="S15" s="18"/>
    </row>
    <row r="16" spans="1:20" ht="14.4" x14ac:dyDescent="0.3">
      <c r="A16" s="22" t="s">
        <v>208</v>
      </c>
      <c r="B16" s="22" t="s">
        <v>195</v>
      </c>
      <c r="C16" s="8">
        <v>3</v>
      </c>
      <c r="D16" s="8">
        <v>2</v>
      </c>
      <c r="E16" s="8" t="s">
        <v>16</v>
      </c>
      <c r="F16" s="8">
        <v>1</v>
      </c>
      <c r="G16" s="8">
        <v>1</v>
      </c>
      <c r="H16" s="16" t="s">
        <v>31</v>
      </c>
      <c r="I16" s="9">
        <v>75958.3</v>
      </c>
      <c r="J16" s="9">
        <v>500</v>
      </c>
      <c r="K16" s="9">
        <v>3297.9150000000004</v>
      </c>
      <c r="L16" s="28">
        <f t="shared" si="0"/>
        <v>11393.745000000001</v>
      </c>
      <c r="M16" s="9">
        <f t="shared" si="1"/>
        <v>474.73937500000005</v>
      </c>
      <c r="N16" s="29">
        <f t="shared" si="2"/>
        <v>60766.64</v>
      </c>
      <c r="O16" s="55" t="s">
        <v>20</v>
      </c>
      <c r="P16" s="40" t="s">
        <v>32</v>
      </c>
      <c r="Q16" s="41">
        <v>46069</v>
      </c>
      <c r="R16" s="42">
        <v>46097</v>
      </c>
      <c r="S16" s="60"/>
    </row>
    <row r="17" spans="1:19" ht="14.4" x14ac:dyDescent="0.3">
      <c r="A17" s="22" t="s">
        <v>209</v>
      </c>
      <c r="B17" s="22" t="s">
        <v>195</v>
      </c>
      <c r="C17" s="8">
        <v>3</v>
      </c>
      <c r="D17" s="8">
        <v>2</v>
      </c>
      <c r="E17" s="8" t="s">
        <v>16</v>
      </c>
      <c r="F17" s="8">
        <v>1</v>
      </c>
      <c r="G17" s="8">
        <v>1</v>
      </c>
      <c r="H17" s="16" t="s">
        <v>33</v>
      </c>
      <c r="I17" s="9">
        <v>75958.3</v>
      </c>
      <c r="J17" s="9">
        <v>500</v>
      </c>
      <c r="K17" s="9">
        <v>3297.9150000000004</v>
      </c>
      <c r="L17" s="28">
        <f t="shared" si="0"/>
        <v>11393.745000000001</v>
      </c>
      <c r="M17" s="9">
        <f t="shared" si="1"/>
        <v>474.73937500000005</v>
      </c>
      <c r="N17" s="29">
        <f t="shared" si="2"/>
        <v>60766.64</v>
      </c>
      <c r="O17" s="55" t="s">
        <v>20</v>
      </c>
      <c r="P17" s="22" t="s">
        <v>34</v>
      </c>
      <c r="Q17" s="23">
        <v>46074</v>
      </c>
      <c r="R17" s="42">
        <v>46102</v>
      </c>
      <c r="S17" s="60"/>
    </row>
    <row r="18" spans="1:19" ht="14.4" x14ac:dyDescent="0.3">
      <c r="A18" s="22" t="s">
        <v>210</v>
      </c>
      <c r="B18" s="22"/>
      <c r="C18" s="8">
        <v>3</v>
      </c>
      <c r="D18" s="8">
        <v>2</v>
      </c>
      <c r="E18" s="8" t="s">
        <v>16</v>
      </c>
      <c r="F18" s="8">
        <v>2</v>
      </c>
      <c r="G18" s="8">
        <v>1</v>
      </c>
      <c r="H18" s="61"/>
      <c r="I18" s="9">
        <v>70232.800000000003</v>
      </c>
      <c r="J18" s="9">
        <v>500</v>
      </c>
      <c r="K18" s="9">
        <v>3011.6400000000003</v>
      </c>
      <c r="L18" s="28">
        <f t="shared" si="0"/>
        <v>10534.92</v>
      </c>
      <c r="M18" s="9">
        <f t="shared" si="1"/>
        <v>438.95499999999998</v>
      </c>
      <c r="N18" s="29">
        <f t="shared" si="2"/>
        <v>56186.240000000005</v>
      </c>
      <c r="O18" s="30" t="s">
        <v>35</v>
      </c>
      <c r="P18" s="34" t="s">
        <v>19</v>
      </c>
      <c r="Q18" s="23">
        <v>46138</v>
      </c>
      <c r="R18" s="43">
        <v>46140</v>
      </c>
      <c r="S18" s="18"/>
    </row>
    <row r="19" spans="1:19" ht="14.4" x14ac:dyDescent="0.3">
      <c r="A19" s="22" t="s">
        <v>211</v>
      </c>
      <c r="B19" s="22"/>
      <c r="C19" s="8">
        <v>3</v>
      </c>
      <c r="D19" s="8">
        <v>2</v>
      </c>
      <c r="E19" s="8" t="s">
        <v>16</v>
      </c>
      <c r="F19" s="8">
        <v>2</v>
      </c>
      <c r="G19" s="8">
        <v>1</v>
      </c>
      <c r="H19" s="16" t="s">
        <v>36</v>
      </c>
      <c r="I19" s="9">
        <v>70232.800000000003</v>
      </c>
      <c r="J19" s="9">
        <v>500</v>
      </c>
      <c r="K19" s="9">
        <v>3011.6400000000003</v>
      </c>
      <c r="L19" s="28">
        <f t="shared" si="0"/>
        <v>10534.92</v>
      </c>
      <c r="M19" s="9">
        <f t="shared" si="1"/>
        <v>438.95499999999998</v>
      </c>
      <c r="N19" s="29">
        <f t="shared" si="2"/>
        <v>56186.240000000005</v>
      </c>
      <c r="O19" s="30" t="s">
        <v>18</v>
      </c>
      <c r="P19" s="22" t="s">
        <v>19</v>
      </c>
      <c r="Q19" s="23">
        <v>46105</v>
      </c>
      <c r="R19" s="37">
        <v>46136</v>
      </c>
      <c r="S19" s="18" t="s">
        <v>37</v>
      </c>
    </row>
    <row r="20" spans="1:19" ht="14.4" x14ac:dyDescent="0.3">
      <c r="A20" s="22" t="s">
        <v>212</v>
      </c>
      <c r="B20" s="22"/>
      <c r="C20" s="8">
        <v>3</v>
      </c>
      <c r="D20" s="8">
        <v>2</v>
      </c>
      <c r="E20" s="8" t="s">
        <v>16</v>
      </c>
      <c r="F20" s="8">
        <v>3</v>
      </c>
      <c r="G20" s="8">
        <v>1</v>
      </c>
      <c r="H20" s="16" t="s">
        <v>38</v>
      </c>
      <c r="I20" s="9">
        <v>66415.8</v>
      </c>
      <c r="J20" s="9">
        <v>500</v>
      </c>
      <c r="K20" s="9">
        <v>2820.7900000000004</v>
      </c>
      <c r="L20" s="28">
        <f t="shared" si="0"/>
        <v>9962.3700000000008</v>
      </c>
      <c r="M20" s="9">
        <f t="shared" si="1"/>
        <v>415.09875000000005</v>
      </c>
      <c r="N20" s="29">
        <f t="shared" si="2"/>
        <v>53132.639999999999</v>
      </c>
      <c r="O20" s="30" t="s">
        <v>377</v>
      </c>
      <c r="P20" s="22" t="s">
        <v>19</v>
      </c>
      <c r="Q20" s="23">
        <v>46072</v>
      </c>
      <c r="R20" s="32">
        <v>46100</v>
      </c>
      <c r="S20" s="60"/>
    </row>
    <row r="21" spans="1:19" ht="14.4" x14ac:dyDescent="0.3">
      <c r="A21" s="22" t="s">
        <v>213</v>
      </c>
      <c r="B21" s="22"/>
      <c r="C21" s="8">
        <v>3</v>
      </c>
      <c r="D21" s="8">
        <v>2</v>
      </c>
      <c r="E21" s="8" t="s">
        <v>16</v>
      </c>
      <c r="F21" s="8">
        <v>3</v>
      </c>
      <c r="G21" s="8">
        <v>1</v>
      </c>
      <c r="H21" s="16" t="s">
        <v>39</v>
      </c>
      <c r="I21" s="9">
        <v>66415.8</v>
      </c>
      <c r="J21" s="9">
        <v>500</v>
      </c>
      <c r="K21" s="9">
        <v>2820.7900000000004</v>
      </c>
      <c r="L21" s="28">
        <f t="shared" si="0"/>
        <v>9962.3700000000008</v>
      </c>
      <c r="M21" s="9">
        <f t="shared" si="1"/>
        <v>415.09875000000005</v>
      </c>
      <c r="N21" s="29">
        <f t="shared" si="2"/>
        <v>53132.639999999999</v>
      </c>
      <c r="O21" s="30" t="s">
        <v>377</v>
      </c>
      <c r="P21" s="22" t="s">
        <v>40</v>
      </c>
      <c r="Q21" s="23">
        <v>46076</v>
      </c>
      <c r="R21" s="32">
        <v>46104</v>
      </c>
      <c r="S21" s="60"/>
    </row>
    <row r="22" spans="1:19" ht="18" customHeight="1" x14ac:dyDescent="0.3">
      <c r="A22" s="22" t="s">
        <v>214</v>
      </c>
      <c r="B22" s="22" t="s">
        <v>196</v>
      </c>
      <c r="C22" s="8">
        <v>3</v>
      </c>
      <c r="D22" s="8">
        <v>2</v>
      </c>
      <c r="E22" s="8" t="s">
        <v>16</v>
      </c>
      <c r="F22" s="8">
        <v>4</v>
      </c>
      <c r="G22" s="8">
        <v>1</v>
      </c>
      <c r="H22" s="16" t="s">
        <v>41</v>
      </c>
      <c r="I22" s="9">
        <v>75958.3</v>
      </c>
      <c r="J22" s="9">
        <v>500</v>
      </c>
      <c r="K22" s="9">
        <v>3297.9150000000004</v>
      </c>
      <c r="L22" s="28">
        <f t="shared" si="0"/>
        <v>11393.745000000001</v>
      </c>
      <c r="M22" s="9">
        <f t="shared" si="1"/>
        <v>474.73937500000005</v>
      </c>
      <c r="N22" s="29">
        <f t="shared" si="2"/>
        <v>60766.64</v>
      </c>
      <c r="O22" s="30" t="s">
        <v>377</v>
      </c>
      <c r="P22" s="22" t="s">
        <v>19</v>
      </c>
      <c r="Q22" s="23">
        <v>46094</v>
      </c>
      <c r="R22" s="32">
        <v>46125</v>
      </c>
      <c r="S22" s="60"/>
    </row>
    <row r="23" spans="1:19" ht="14.4" x14ac:dyDescent="0.3">
      <c r="A23" s="22" t="s">
        <v>215</v>
      </c>
      <c r="B23" s="22" t="s">
        <v>196</v>
      </c>
      <c r="C23" s="8">
        <v>3</v>
      </c>
      <c r="D23" s="8">
        <v>2</v>
      </c>
      <c r="E23" s="8" t="s">
        <v>16</v>
      </c>
      <c r="F23" s="8">
        <v>4</v>
      </c>
      <c r="G23" s="8">
        <v>1</v>
      </c>
      <c r="H23" s="61"/>
      <c r="I23" s="9">
        <v>75958.3</v>
      </c>
      <c r="J23" s="9">
        <v>500</v>
      </c>
      <c r="K23" s="9">
        <v>3297.9150000000004</v>
      </c>
      <c r="L23" s="28">
        <f t="shared" si="0"/>
        <v>11393.745000000001</v>
      </c>
      <c r="M23" s="9">
        <f t="shared" si="1"/>
        <v>474.73937500000005</v>
      </c>
      <c r="N23" s="29">
        <f t="shared" si="2"/>
        <v>60766.64</v>
      </c>
      <c r="O23" s="30" t="s">
        <v>35</v>
      </c>
      <c r="P23" s="22" t="s">
        <v>19</v>
      </c>
      <c r="Q23" s="23">
        <v>46141</v>
      </c>
      <c r="R23" s="43">
        <v>46143</v>
      </c>
      <c r="S23" s="18"/>
    </row>
    <row r="24" spans="1:19" ht="14.4" x14ac:dyDescent="0.3">
      <c r="A24" s="22" t="s">
        <v>216</v>
      </c>
      <c r="B24" s="22" t="s">
        <v>195</v>
      </c>
      <c r="C24" s="8">
        <v>3</v>
      </c>
      <c r="D24" s="8">
        <v>2</v>
      </c>
      <c r="E24" s="8" t="s">
        <v>16</v>
      </c>
      <c r="F24" s="8">
        <v>1</v>
      </c>
      <c r="G24" s="8">
        <v>1</v>
      </c>
      <c r="H24" s="16" t="s">
        <v>42</v>
      </c>
      <c r="I24" s="9">
        <v>75958.3</v>
      </c>
      <c r="J24" s="9">
        <v>500</v>
      </c>
      <c r="K24" s="9">
        <v>3297.9150000000004</v>
      </c>
      <c r="L24" s="28">
        <f t="shared" si="0"/>
        <v>11393.745000000001</v>
      </c>
      <c r="M24" s="9">
        <f t="shared" si="1"/>
        <v>474.73937500000005</v>
      </c>
      <c r="N24" s="29">
        <f t="shared" si="2"/>
        <v>60766.64</v>
      </c>
      <c r="O24" s="30" t="s">
        <v>377</v>
      </c>
      <c r="P24" s="22" t="s">
        <v>22</v>
      </c>
      <c r="Q24" s="23">
        <v>46092</v>
      </c>
      <c r="R24" s="32">
        <v>46123</v>
      </c>
      <c r="S24" s="60"/>
    </row>
    <row r="25" spans="1:19" ht="14.4" x14ac:dyDescent="0.3">
      <c r="A25" s="22" t="s">
        <v>217</v>
      </c>
      <c r="B25" s="22" t="s">
        <v>195</v>
      </c>
      <c r="C25" s="8">
        <v>3</v>
      </c>
      <c r="D25" s="8">
        <v>2</v>
      </c>
      <c r="E25" s="8" t="s">
        <v>16</v>
      </c>
      <c r="F25" s="8">
        <v>1</v>
      </c>
      <c r="G25" s="8">
        <v>1</v>
      </c>
      <c r="H25" s="16" t="s">
        <v>43</v>
      </c>
      <c r="I25" s="9">
        <v>75958.3</v>
      </c>
      <c r="J25" s="9">
        <v>500</v>
      </c>
      <c r="K25" s="9">
        <v>3297.9150000000004</v>
      </c>
      <c r="L25" s="28">
        <f t="shared" si="0"/>
        <v>11393.745000000001</v>
      </c>
      <c r="M25" s="9">
        <f t="shared" si="1"/>
        <v>474.73937500000005</v>
      </c>
      <c r="N25" s="29">
        <f t="shared" si="2"/>
        <v>60766.64</v>
      </c>
      <c r="O25" s="30" t="s">
        <v>377</v>
      </c>
      <c r="P25" s="22" t="s">
        <v>44</v>
      </c>
      <c r="Q25" s="23">
        <v>46091</v>
      </c>
      <c r="R25" s="32">
        <v>46122</v>
      </c>
      <c r="S25" s="60"/>
    </row>
    <row r="26" spans="1:19" ht="14.4" x14ac:dyDescent="0.3">
      <c r="A26" s="22" t="s">
        <v>218</v>
      </c>
      <c r="B26" s="22"/>
      <c r="C26" s="8">
        <v>3</v>
      </c>
      <c r="D26" s="8">
        <v>2</v>
      </c>
      <c r="E26" s="8" t="s">
        <v>16</v>
      </c>
      <c r="F26" s="8">
        <v>2</v>
      </c>
      <c r="G26" s="8">
        <v>1</v>
      </c>
      <c r="H26" s="16" t="s">
        <v>45</v>
      </c>
      <c r="I26" s="9">
        <v>70232.800000000003</v>
      </c>
      <c r="J26" s="9">
        <v>500</v>
      </c>
      <c r="K26" s="9">
        <v>3011.6400000000003</v>
      </c>
      <c r="L26" s="28">
        <f t="shared" si="0"/>
        <v>10534.92</v>
      </c>
      <c r="M26" s="9">
        <f t="shared" si="1"/>
        <v>438.95499999999998</v>
      </c>
      <c r="N26" s="29">
        <f t="shared" si="2"/>
        <v>56186.240000000005</v>
      </c>
      <c r="O26" s="30" t="s">
        <v>377</v>
      </c>
      <c r="P26" s="22" t="s">
        <v>40</v>
      </c>
      <c r="Q26" s="23">
        <v>46086</v>
      </c>
      <c r="R26" s="32">
        <v>46117</v>
      </c>
      <c r="S26" s="60"/>
    </row>
    <row r="27" spans="1:19" ht="14.4" x14ac:dyDescent="0.3">
      <c r="A27" s="22" t="s">
        <v>219</v>
      </c>
      <c r="B27" s="22"/>
      <c r="C27" s="8">
        <v>3</v>
      </c>
      <c r="D27" s="8">
        <v>2</v>
      </c>
      <c r="E27" s="8" t="s">
        <v>16</v>
      </c>
      <c r="F27" s="8">
        <v>2</v>
      </c>
      <c r="G27" s="8">
        <v>1</v>
      </c>
      <c r="H27" s="16" t="s">
        <v>46</v>
      </c>
      <c r="I27" s="9">
        <v>70232.800000000003</v>
      </c>
      <c r="J27" s="9">
        <v>500</v>
      </c>
      <c r="K27" s="9">
        <v>3011.6400000000003</v>
      </c>
      <c r="L27" s="28">
        <f t="shared" si="0"/>
        <v>10534.92</v>
      </c>
      <c r="M27" s="9">
        <f t="shared" si="1"/>
        <v>438.95499999999998</v>
      </c>
      <c r="N27" s="29">
        <f t="shared" si="2"/>
        <v>56186.240000000005</v>
      </c>
      <c r="O27" s="55" t="s">
        <v>20</v>
      </c>
      <c r="P27" s="22" t="s">
        <v>22</v>
      </c>
      <c r="Q27" s="23">
        <v>46104</v>
      </c>
      <c r="R27" s="44">
        <v>46135</v>
      </c>
      <c r="S27" s="60"/>
    </row>
    <row r="28" spans="1:19" ht="14.4" x14ac:dyDescent="0.3">
      <c r="A28" s="22" t="s">
        <v>220</v>
      </c>
      <c r="B28" s="22"/>
      <c r="C28" s="8">
        <v>3</v>
      </c>
      <c r="D28" s="8">
        <v>2</v>
      </c>
      <c r="E28" s="8" t="s">
        <v>16</v>
      </c>
      <c r="F28" s="8">
        <v>3</v>
      </c>
      <c r="G28" s="8">
        <v>1</v>
      </c>
      <c r="H28" s="16" t="s">
        <v>47</v>
      </c>
      <c r="I28" s="9">
        <v>66415.8</v>
      </c>
      <c r="J28" s="9">
        <v>500</v>
      </c>
      <c r="K28" s="9">
        <v>2820.7900000000004</v>
      </c>
      <c r="L28" s="28">
        <f t="shared" si="0"/>
        <v>9962.3700000000008</v>
      </c>
      <c r="M28" s="9">
        <f t="shared" si="1"/>
        <v>415.09875000000005</v>
      </c>
      <c r="N28" s="29">
        <f t="shared" si="2"/>
        <v>53132.639999999999</v>
      </c>
      <c r="O28" s="30" t="s">
        <v>18</v>
      </c>
      <c r="P28" s="22" t="s">
        <v>22</v>
      </c>
      <c r="Q28" s="23">
        <v>46113</v>
      </c>
      <c r="R28" s="43">
        <v>46143</v>
      </c>
      <c r="S28" s="18" t="s">
        <v>48</v>
      </c>
    </row>
    <row r="29" spans="1:19" ht="14.4" x14ac:dyDescent="0.3">
      <c r="A29" s="22" t="s">
        <v>221</v>
      </c>
      <c r="B29" s="22"/>
      <c r="C29" s="8">
        <v>3</v>
      </c>
      <c r="D29" s="8">
        <v>2</v>
      </c>
      <c r="E29" s="8" t="s">
        <v>16</v>
      </c>
      <c r="F29" s="8">
        <v>3</v>
      </c>
      <c r="G29" s="8">
        <v>1</v>
      </c>
      <c r="H29" s="16" t="s">
        <v>49</v>
      </c>
      <c r="I29" s="9">
        <v>66415.8</v>
      </c>
      <c r="J29" s="9">
        <v>500</v>
      </c>
      <c r="K29" s="9">
        <v>2820.7900000000004</v>
      </c>
      <c r="L29" s="28">
        <f t="shared" si="0"/>
        <v>9962.3700000000008</v>
      </c>
      <c r="M29" s="9">
        <f t="shared" si="1"/>
        <v>415.09875000000005</v>
      </c>
      <c r="N29" s="29">
        <f t="shared" si="2"/>
        <v>53132.639999999999</v>
      </c>
      <c r="O29" s="30" t="s">
        <v>18</v>
      </c>
      <c r="P29" s="22" t="s">
        <v>19</v>
      </c>
      <c r="Q29" s="23">
        <v>46122</v>
      </c>
      <c r="R29" s="43">
        <v>46152</v>
      </c>
      <c r="S29" s="18" t="s">
        <v>50</v>
      </c>
    </row>
    <row r="30" spans="1:19" ht="14.4" x14ac:dyDescent="0.3">
      <c r="A30" s="22" t="s">
        <v>222</v>
      </c>
      <c r="B30" s="22" t="s">
        <v>196</v>
      </c>
      <c r="C30" s="8">
        <v>3</v>
      </c>
      <c r="D30" s="8">
        <v>2</v>
      </c>
      <c r="E30" s="8" t="s">
        <v>16</v>
      </c>
      <c r="F30" s="8">
        <v>4</v>
      </c>
      <c r="G30" s="8">
        <v>1</v>
      </c>
      <c r="H30" s="16" t="s">
        <v>51</v>
      </c>
      <c r="I30" s="9">
        <v>75958.3</v>
      </c>
      <c r="J30" s="9">
        <v>500</v>
      </c>
      <c r="K30" s="9">
        <v>3297.9150000000004</v>
      </c>
      <c r="L30" s="28">
        <f t="shared" si="0"/>
        <v>11393.745000000001</v>
      </c>
      <c r="M30" s="9">
        <f t="shared" si="1"/>
        <v>474.73937500000005</v>
      </c>
      <c r="N30" s="29">
        <f t="shared" si="2"/>
        <v>60766.64</v>
      </c>
      <c r="O30" s="30" t="s">
        <v>18</v>
      </c>
      <c r="P30" s="22" t="s">
        <v>22</v>
      </c>
      <c r="Q30" s="23">
        <v>46129</v>
      </c>
      <c r="R30" s="43">
        <v>46159</v>
      </c>
      <c r="S30" s="18" t="s">
        <v>52</v>
      </c>
    </row>
    <row r="31" spans="1:19" ht="16.5" customHeight="1" x14ac:dyDescent="0.3">
      <c r="A31" s="22" t="s">
        <v>223</v>
      </c>
      <c r="B31" s="22" t="s">
        <v>196</v>
      </c>
      <c r="C31" s="8">
        <v>3</v>
      </c>
      <c r="D31" s="8">
        <v>2</v>
      </c>
      <c r="E31" s="8" t="s">
        <v>16</v>
      </c>
      <c r="F31" s="8">
        <v>4</v>
      </c>
      <c r="G31" s="8">
        <v>1</v>
      </c>
      <c r="H31" s="62"/>
      <c r="I31" s="9">
        <v>75958.3</v>
      </c>
      <c r="J31" s="9">
        <v>500</v>
      </c>
      <c r="K31" s="9">
        <v>3297.9150000000004</v>
      </c>
      <c r="L31" s="28">
        <f t="shared" si="0"/>
        <v>11393.745000000001</v>
      </c>
      <c r="M31" s="9">
        <f t="shared" si="1"/>
        <v>474.73937500000005</v>
      </c>
      <c r="N31" s="29">
        <f t="shared" si="2"/>
        <v>60766.64</v>
      </c>
      <c r="O31" s="30" t="s">
        <v>53</v>
      </c>
      <c r="P31" s="22"/>
      <c r="Q31" s="23"/>
      <c r="R31" s="43"/>
      <c r="S31" s="18"/>
    </row>
    <row r="32" spans="1:19" ht="16.5" customHeight="1" x14ac:dyDescent="0.3">
      <c r="A32" s="22" t="s">
        <v>224</v>
      </c>
      <c r="B32" s="22" t="s">
        <v>195</v>
      </c>
      <c r="C32" s="8">
        <v>3</v>
      </c>
      <c r="D32" s="8">
        <v>2</v>
      </c>
      <c r="E32" s="17" t="s">
        <v>16</v>
      </c>
      <c r="F32" s="17">
        <v>1</v>
      </c>
      <c r="G32" s="17">
        <v>1</v>
      </c>
      <c r="H32" s="16" t="s">
        <v>54</v>
      </c>
      <c r="I32" s="19">
        <v>75958.3</v>
      </c>
      <c r="J32" s="19">
        <v>500</v>
      </c>
      <c r="K32" s="19">
        <v>3297.9150000000004</v>
      </c>
      <c r="L32" s="20">
        <f t="shared" ref="L32:L39" si="3">+I32*15%</f>
        <v>11393.745000000001</v>
      </c>
      <c r="M32" s="19">
        <f t="shared" ref="M32:M39" si="4">+L32/24</f>
        <v>474.73937500000005</v>
      </c>
      <c r="N32" s="24">
        <f t="shared" ref="N32:N39" si="5">+I32-J32-K32-L32</f>
        <v>60766.640000000007</v>
      </c>
      <c r="O32" s="45" t="s">
        <v>18</v>
      </c>
      <c r="P32" s="22" t="s">
        <v>44</v>
      </c>
      <c r="Q32" s="23">
        <v>46104</v>
      </c>
      <c r="R32" s="37">
        <v>46135</v>
      </c>
      <c r="S32" s="18" t="s">
        <v>55</v>
      </c>
    </row>
    <row r="33" spans="1:19" ht="16.5" customHeight="1" x14ac:dyDescent="0.3">
      <c r="A33" s="22" t="s">
        <v>225</v>
      </c>
      <c r="B33" s="22" t="s">
        <v>195</v>
      </c>
      <c r="C33" s="8">
        <v>3</v>
      </c>
      <c r="D33" s="8">
        <v>2</v>
      </c>
      <c r="E33" s="17" t="s">
        <v>16</v>
      </c>
      <c r="F33" s="17">
        <v>1</v>
      </c>
      <c r="G33" s="17">
        <v>1</v>
      </c>
      <c r="H33" s="21" t="s">
        <v>56</v>
      </c>
      <c r="I33" s="19">
        <v>75958.3</v>
      </c>
      <c r="J33" s="19">
        <v>500</v>
      </c>
      <c r="K33" s="19">
        <v>3297.9150000000004</v>
      </c>
      <c r="L33" s="20">
        <f t="shared" si="3"/>
        <v>11393.745000000001</v>
      </c>
      <c r="M33" s="19">
        <f t="shared" si="4"/>
        <v>474.73937500000005</v>
      </c>
      <c r="N33" s="24">
        <f t="shared" si="5"/>
        <v>60766.640000000007</v>
      </c>
      <c r="O33" s="30" t="s">
        <v>377</v>
      </c>
      <c r="P33" s="22" t="s">
        <v>378</v>
      </c>
      <c r="Q33" s="23">
        <v>46111</v>
      </c>
      <c r="R33" s="32">
        <v>46142</v>
      </c>
      <c r="S33" s="18" t="s">
        <v>57</v>
      </c>
    </row>
    <row r="34" spans="1:19" ht="16.5" customHeight="1" x14ac:dyDescent="0.3">
      <c r="A34" s="22" t="s">
        <v>226</v>
      </c>
      <c r="B34" s="22"/>
      <c r="C34" s="8">
        <v>3</v>
      </c>
      <c r="D34" s="8">
        <v>2</v>
      </c>
      <c r="E34" s="17" t="s">
        <v>16</v>
      </c>
      <c r="F34" s="17">
        <v>2</v>
      </c>
      <c r="G34" s="17">
        <v>1</v>
      </c>
      <c r="H34" s="21" t="s">
        <v>58</v>
      </c>
      <c r="I34" s="19">
        <v>70232.800000000003</v>
      </c>
      <c r="J34" s="19">
        <v>500</v>
      </c>
      <c r="K34" s="19">
        <v>3011.6400000000003</v>
      </c>
      <c r="L34" s="20">
        <f t="shared" si="3"/>
        <v>10534.92</v>
      </c>
      <c r="M34" s="19">
        <f t="shared" si="4"/>
        <v>438.95499999999998</v>
      </c>
      <c r="N34" s="24">
        <f t="shared" si="5"/>
        <v>56186.240000000005</v>
      </c>
      <c r="O34" s="30" t="s">
        <v>377</v>
      </c>
      <c r="P34" s="22" t="s">
        <v>19</v>
      </c>
      <c r="Q34" s="23">
        <v>46112</v>
      </c>
      <c r="R34" s="46">
        <v>46142</v>
      </c>
      <c r="S34" s="60"/>
    </row>
    <row r="35" spans="1:19" ht="17.25" customHeight="1" x14ac:dyDescent="0.3">
      <c r="A35" s="22" t="s">
        <v>227</v>
      </c>
      <c r="B35" s="22"/>
      <c r="C35" s="8">
        <v>3</v>
      </c>
      <c r="D35" s="8">
        <v>2</v>
      </c>
      <c r="E35" s="17" t="s">
        <v>16</v>
      </c>
      <c r="F35" s="17">
        <v>2</v>
      </c>
      <c r="G35" s="17">
        <v>1</v>
      </c>
      <c r="H35" s="21" t="s">
        <v>59</v>
      </c>
      <c r="I35" s="19">
        <v>70232.800000000003</v>
      </c>
      <c r="J35" s="19">
        <v>500</v>
      </c>
      <c r="K35" s="19">
        <v>3011.6400000000003</v>
      </c>
      <c r="L35" s="20">
        <f t="shared" si="3"/>
        <v>10534.92</v>
      </c>
      <c r="M35" s="19">
        <f t="shared" si="4"/>
        <v>438.95499999999998</v>
      </c>
      <c r="N35" s="24">
        <f t="shared" si="5"/>
        <v>56186.240000000005</v>
      </c>
      <c r="O35" s="45" t="s">
        <v>18</v>
      </c>
      <c r="P35" s="22" t="s">
        <v>19</v>
      </c>
      <c r="Q35" s="23">
        <v>46104</v>
      </c>
      <c r="R35" s="37">
        <v>46135</v>
      </c>
      <c r="S35" s="18" t="s">
        <v>60</v>
      </c>
    </row>
    <row r="36" spans="1:19" ht="16.5" customHeight="1" x14ac:dyDescent="0.3">
      <c r="A36" s="22" t="s">
        <v>228</v>
      </c>
      <c r="B36" s="22"/>
      <c r="C36" s="8">
        <v>3</v>
      </c>
      <c r="D36" s="8">
        <v>2</v>
      </c>
      <c r="E36" s="17" t="s">
        <v>16</v>
      </c>
      <c r="F36" s="17">
        <v>3</v>
      </c>
      <c r="G36" s="17">
        <v>1</v>
      </c>
      <c r="H36" s="26" t="s">
        <v>61</v>
      </c>
      <c r="I36" s="19">
        <v>66415.8</v>
      </c>
      <c r="J36" s="19">
        <v>500</v>
      </c>
      <c r="K36" s="19">
        <v>2820.7900000000004</v>
      </c>
      <c r="L36" s="20">
        <f t="shared" si="3"/>
        <v>9962.3700000000008</v>
      </c>
      <c r="M36" s="19">
        <f t="shared" si="4"/>
        <v>415.09875000000005</v>
      </c>
      <c r="N36" s="24">
        <f t="shared" si="5"/>
        <v>53132.639999999999</v>
      </c>
      <c r="O36" s="45" t="s">
        <v>18</v>
      </c>
      <c r="P36" s="22" t="s">
        <v>19</v>
      </c>
      <c r="Q36" s="23">
        <v>46138</v>
      </c>
      <c r="R36" s="36">
        <v>46168</v>
      </c>
      <c r="S36" s="18" t="s">
        <v>62</v>
      </c>
    </row>
    <row r="37" spans="1:19" ht="16.5" customHeight="1" x14ac:dyDescent="0.3">
      <c r="A37" s="22" t="s">
        <v>229</v>
      </c>
      <c r="B37" s="22"/>
      <c r="C37" s="8">
        <v>3</v>
      </c>
      <c r="D37" s="8">
        <v>2</v>
      </c>
      <c r="E37" s="17" t="s">
        <v>16</v>
      </c>
      <c r="F37" s="17">
        <v>3</v>
      </c>
      <c r="G37" s="17">
        <v>1</v>
      </c>
      <c r="H37" s="21" t="s">
        <v>63</v>
      </c>
      <c r="I37" s="19">
        <v>66415.8</v>
      </c>
      <c r="J37" s="19">
        <v>500</v>
      </c>
      <c r="K37" s="19">
        <v>2820.7900000000004</v>
      </c>
      <c r="L37" s="20">
        <f t="shared" si="3"/>
        <v>9962.3700000000008</v>
      </c>
      <c r="M37" s="19">
        <f t="shared" si="4"/>
        <v>415.09875000000005</v>
      </c>
      <c r="N37" s="24">
        <f t="shared" si="5"/>
        <v>53132.639999999999</v>
      </c>
      <c r="O37" s="30" t="s">
        <v>377</v>
      </c>
      <c r="P37" s="22" t="s">
        <v>64</v>
      </c>
      <c r="Q37" s="23">
        <v>46097</v>
      </c>
      <c r="R37" s="32">
        <v>46128</v>
      </c>
      <c r="S37" s="60"/>
    </row>
    <row r="38" spans="1:19" ht="16.5" customHeight="1" x14ac:dyDescent="0.3">
      <c r="A38" s="22" t="s">
        <v>230</v>
      </c>
      <c r="B38" s="22" t="s">
        <v>196</v>
      </c>
      <c r="C38" s="8">
        <v>3</v>
      </c>
      <c r="D38" s="8">
        <v>2</v>
      </c>
      <c r="E38" s="17" t="s">
        <v>16</v>
      </c>
      <c r="F38" s="17">
        <v>4</v>
      </c>
      <c r="G38" s="17">
        <v>1</v>
      </c>
      <c r="H38" s="21" t="s">
        <v>65</v>
      </c>
      <c r="I38" s="19">
        <v>75958.3</v>
      </c>
      <c r="J38" s="19">
        <v>500</v>
      </c>
      <c r="K38" s="19">
        <v>3297.9150000000004</v>
      </c>
      <c r="L38" s="20">
        <f t="shared" si="3"/>
        <v>11393.745000000001</v>
      </c>
      <c r="M38" s="19">
        <f t="shared" si="4"/>
        <v>474.73937500000005</v>
      </c>
      <c r="N38" s="24">
        <f t="shared" si="5"/>
        <v>60766.640000000007</v>
      </c>
      <c r="O38" s="45" t="s">
        <v>18</v>
      </c>
      <c r="P38" s="22" t="s">
        <v>22</v>
      </c>
      <c r="Q38" s="23">
        <v>46129</v>
      </c>
      <c r="R38" s="43">
        <v>46159</v>
      </c>
      <c r="S38" s="18" t="s">
        <v>52</v>
      </c>
    </row>
    <row r="39" spans="1:19" ht="16.5" customHeight="1" x14ac:dyDescent="0.3">
      <c r="A39" s="22" t="s">
        <v>231</v>
      </c>
      <c r="B39" s="22" t="s">
        <v>196</v>
      </c>
      <c r="C39" s="8">
        <v>3</v>
      </c>
      <c r="D39" s="8">
        <v>2</v>
      </c>
      <c r="E39" s="17" t="s">
        <v>16</v>
      </c>
      <c r="F39" s="17">
        <v>4</v>
      </c>
      <c r="G39" s="17">
        <v>1</v>
      </c>
      <c r="H39" s="63"/>
      <c r="I39" s="19">
        <v>75958.3</v>
      </c>
      <c r="J39" s="19">
        <v>500</v>
      </c>
      <c r="K39" s="19">
        <v>3297.9150000000004</v>
      </c>
      <c r="L39" s="20">
        <f t="shared" si="3"/>
        <v>11393.745000000001</v>
      </c>
      <c r="M39" s="19">
        <f t="shared" si="4"/>
        <v>474.73937500000005</v>
      </c>
      <c r="N39" s="24">
        <f t="shared" si="5"/>
        <v>60766.640000000007</v>
      </c>
      <c r="O39" s="45" t="s">
        <v>53</v>
      </c>
      <c r="P39" s="22"/>
      <c r="Q39" s="23"/>
      <c r="R39" s="43"/>
      <c r="S39" s="18"/>
    </row>
    <row r="40" spans="1:19" ht="14.4" x14ac:dyDescent="0.3">
      <c r="A40" s="22" t="s">
        <v>232</v>
      </c>
      <c r="B40" s="22" t="s">
        <v>195</v>
      </c>
      <c r="C40" s="8">
        <v>3</v>
      </c>
      <c r="D40" s="8">
        <v>2</v>
      </c>
      <c r="E40" s="17" t="s">
        <v>16</v>
      </c>
      <c r="F40" s="17">
        <v>1</v>
      </c>
      <c r="G40" s="17">
        <v>1</v>
      </c>
      <c r="H40" s="21" t="s">
        <v>67</v>
      </c>
      <c r="I40" s="19">
        <v>75958.3</v>
      </c>
      <c r="J40" s="19">
        <v>500</v>
      </c>
      <c r="K40" s="19">
        <v>3297.9150000000004</v>
      </c>
      <c r="L40" s="20">
        <f t="shared" ref="L40:L55" si="6">+I40*15%</f>
        <v>11393.745000000001</v>
      </c>
      <c r="M40" s="19">
        <f t="shared" ref="M40:M55" si="7">+L40/24</f>
        <v>474.73937500000005</v>
      </c>
      <c r="N40" s="25">
        <f t="shared" ref="N40:N55" si="8">+I40-J40-K40-L40</f>
        <v>60766.640000000007</v>
      </c>
      <c r="O40" s="45" t="s">
        <v>18</v>
      </c>
      <c r="P40" s="22" t="s">
        <v>19</v>
      </c>
      <c r="Q40" s="23">
        <v>46101</v>
      </c>
      <c r="R40" s="47">
        <v>46132</v>
      </c>
      <c r="S40" s="18" t="s">
        <v>68</v>
      </c>
    </row>
    <row r="41" spans="1:19" ht="14.4" x14ac:dyDescent="0.3">
      <c r="A41" s="22" t="s">
        <v>233</v>
      </c>
      <c r="B41" s="22" t="s">
        <v>195</v>
      </c>
      <c r="C41" s="8">
        <v>3</v>
      </c>
      <c r="D41" s="8">
        <v>2</v>
      </c>
      <c r="E41" s="17" t="s">
        <v>16</v>
      </c>
      <c r="F41" s="17">
        <v>1</v>
      </c>
      <c r="G41" s="17">
        <v>1</v>
      </c>
      <c r="H41" s="21" t="s">
        <v>69</v>
      </c>
      <c r="I41" s="19">
        <v>75958.3</v>
      </c>
      <c r="J41" s="19">
        <v>500</v>
      </c>
      <c r="K41" s="19">
        <v>3297.9150000000004</v>
      </c>
      <c r="L41" s="20">
        <f t="shared" si="6"/>
        <v>11393.745000000001</v>
      </c>
      <c r="M41" s="19">
        <f t="shared" si="7"/>
        <v>474.73937500000005</v>
      </c>
      <c r="N41" s="25">
        <f t="shared" si="8"/>
        <v>60766.640000000007</v>
      </c>
      <c r="O41" s="45" t="s">
        <v>18</v>
      </c>
      <c r="P41" s="22" t="s">
        <v>19</v>
      </c>
      <c r="Q41" s="23">
        <v>46101</v>
      </c>
      <c r="R41" s="47">
        <v>46132</v>
      </c>
      <c r="S41" s="18" t="s">
        <v>68</v>
      </c>
    </row>
    <row r="42" spans="1:19" ht="14.4" x14ac:dyDescent="0.3">
      <c r="A42" s="22" t="s">
        <v>234</v>
      </c>
      <c r="B42" s="22"/>
      <c r="C42" s="8">
        <v>3</v>
      </c>
      <c r="D42" s="8">
        <v>2</v>
      </c>
      <c r="E42" s="17" t="s">
        <v>16</v>
      </c>
      <c r="F42" s="17">
        <v>2</v>
      </c>
      <c r="G42" s="17">
        <v>1</v>
      </c>
      <c r="H42" s="21" t="s">
        <v>70</v>
      </c>
      <c r="I42" s="19">
        <v>70232.800000000003</v>
      </c>
      <c r="J42" s="19">
        <v>500</v>
      </c>
      <c r="K42" s="19">
        <v>3011.6400000000003</v>
      </c>
      <c r="L42" s="20">
        <f t="shared" si="6"/>
        <v>10534.92</v>
      </c>
      <c r="M42" s="19">
        <f t="shared" si="7"/>
        <v>438.95499999999998</v>
      </c>
      <c r="N42" s="25">
        <f t="shared" si="8"/>
        <v>56186.240000000005</v>
      </c>
      <c r="O42" s="45" t="s">
        <v>18</v>
      </c>
      <c r="P42" s="22" t="s">
        <v>22</v>
      </c>
      <c r="Q42" s="23">
        <v>46132</v>
      </c>
      <c r="R42" s="23">
        <v>46162</v>
      </c>
      <c r="S42" s="18" t="s">
        <v>71</v>
      </c>
    </row>
    <row r="43" spans="1:19" ht="14.4" x14ac:dyDescent="0.3">
      <c r="A43" s="22" t="s">
        <v>235</v>
      </c>
      <c r="B43" s="22"/>
      <c r="C43" s="8">
        <v>3</v>
      </c>
      <c r="D43" s="8">
        <v>2</v>
      </c>
      <c r="E43" s="17" t="s">
        <v>16</v>
      </c>
      <c r="F43" s="17">
        <v>2</v>
      </c>
      <c r="G43" s="17">
        <v>1</v>
      </c>
      <c r="H43" s="21" t="s">
        <v>72</v>
      </c>
      <c r="I43" s="19">
        <v>70232.800000000003</v>
      </c>
      <c r="J43" s="19">
        <v>500</v>
      </c>
      <c r="K43" s="19">
        <v>3011.6400000000003</v>
      </c>
      <c r="L43" s="20">
        <f t="shared" si="6"/>
        <v>10534.92</v>
      </c>
      <c r="M43" s="19">
        <f t="shared" si="7"/>
        <v>438.95499999999998</v>
      </c>
      <c r="N43" s="25">
        <f t="shared" si="8"/>
        <v>56186.240000000005</v>
      </c>
      <c r="O43" s="45" t="s">
        <v>18</v>
      </c>
      <c r="P43" s="22" t="s">
        <v>22</v>
      </c>
      <c r="Q43" s="23">
        <v>46132</v>
      </c>
      <c r="R43" s="23">
        <v>46162</v>
      </c>
      <c r="S43" s="18" t="s">
        <v>71</v>
      </c>
    </row>
    <row r="44" spans="1:19" ht="14.4" x14ac:dyDescent="0.3">
      <c r="A44" s="22" t="s">
        <v>236</v>
      </c>
      <c r="B44" s="22"/>
      <c r="C44" s="8">
        <v>3</v>
      </c>
      <c r="D44" s="8">
        <v>2</v>
      </c>
      <c r="E44" s="17" t="s">
        <v>16</v>
      </c>
      <c r="F44" s="17">
        <v>3</v>
      </c>
      <c r="G44" s="17">
        <v>1</v>
      </c>
      <c r="H44" s="21" t="s">
        <v>73</v>
      </c>
      <c r="I44" s="19">
        <v>66415.8</v>
      </c>
      <c r="J44" s="19">
        <v>500</v>
      </c>
      <c r="K44" s="19">
        <v>2820.7900000000004</v>
      </c>
      <c r="L44" s="20">
        <f t="shared" si="6"/>
        <v>9962.3700000000008</v>
      </c>
      <c r="M44" s="19">
        <f t="shared" si="7"/>
        <v>415.09875000000005</v>
      </c>
      <c r="N44" s="25">
        <f t="shared" si="8"/>
        <v>53132.639999999999</v>
      </c>
      <c r="O44" s="45" t="s">
        <v>18</v>
      </c>
      <c r="P44" s="22" t="s">
        <v>22</v>
      </c>
      <c r="Q44" s="23">
        <v>46112</v>
      </c>
      <c r="R44" s="48">
        <v>46142</v>
      </c>
      <c r="S44" s="18" t="s">
        <v>74</v>
      </c>
    </row>
    <row r="45" spans="1:19" ht="14.4" x14ac:dyDescent="0.3">
      <c r="A45" s="22" t="s">
        <v>237</v>
      </c>
      <c r="B45" s="22"/>
      <c r="C45" s="8">
        <v>3</v>
      </c>
      <c r="D45" s="8">
        <v>2</v>
      </c>
      <c r="E45" s="17" t="s">
        <v>16</v>
      </c>
      <c r="F45" s="17">
        <v>3</v>
      </c>
      <c r="G45" s="17">
        <v>1</v>
      </c>
      <c r="H45" s="21" t="s">
        <v>75</v>
      </c>
      <c r="I45" s="19">
        <v>66415.8</v>
      </c>
      <c r="J45" s="19">
        <v>500</v>
      </c>
      <c r="K45" s="19">
        <v>2820.7900000000004</v>
      </c>
      <c r="L45" s="20">
        <f t="shared" si="6"/>
        <v>9962.3700000000008</v>
      </c>
      <c r="M45" s="19">
        <f t="shared" si="7"/>
        <v>415.09875000000005</v>
      </c>
      <c r="N45" s="25">
        <f t="shared" si="8"/>
        <v>53132.639999999999</v>
      </c>
      <c r="O45" s="55" t="s">
        <v>20</v>
      </c>
      <c r="P45" s="22" t="s">
        <v>378</v>
      </c>
      <c r="Q45" s="23">
        <v>46114</v>
      </c>
      <c r="R45" s="42">
        <v>46144</v>
      </c>
      <c r="S45" s="18" t="s">
        <v>76</v>
      </c>
    </row>
    <row r="46" spans="1:19" ht="13.5" customHeight="1" x14ac:dyDescent="0.3">
      <c r="A46" s="22" t="s">
        <v>238</v>
      </c>
      <c r="B46" s="22" t="s">
        <v>196</v>
      </c>
      <c r="C46" s="8">
        <v>3</v>
      </c>
      <c r="D46" s="8">
        <v>2</v>
      </c>
      <c r="E46" s="17" t="s">
        <v>16</v>
      </c>
      <c r="F46" s="17">
        <v>4</v>
      </c>
      <c r="G46" s="17">
        <v>1</v>
      </c>
      <c r="H46" s="21" t="s">
        <v>77</v>
      </c>
      <c r="I46" s="19">
        <v>75958.3</v>
      </c>
      <c r="J46" s="19">
        <v>500</v>
      </c>
      <c r="K46" s="19">
        <v>3297.9150000000004</v>
      </c>
      <c r="L46" s="20">
        <f t="shared" si="6"/>
        <v>11393.745000000001</v>
      </c>
      <c r="M46" s="19">
        <f t="shared" si="7"/>
        <v>474.73937500000005</v>
      </c>
      <c r="N46" s="25">
        <f t="shared" si="8"/>
        <v>60766.640000000007</v>
      </c>
      <c r="O46" s="45" t="s">
        <v>18</v>
      </c>
      <c r="P46" s="22" t="s">
        <v>44</v>
      </c>
      <c r="Q46" s="23">
        <v>46135</v>
      </c>
      <c r="R46" s="23">
        <v>46165</v>
      </c>
      <c r="S46" s="18" t="s">
        <v>78</v>
      </c>
    </row>
    <row r="47" spans="1:19" ht="14.4" x14ac:dyDescent="0.3">
      <c r="A47" s="22" t="s">
        <v>239</v>
      </c>
      <c r="B47" s="22" t="s">
        <v>196</v>
      </c>
      <c r="C47" s="8">
        <v>3</v>
      </c>
      <c r="D47" s="8">
        <v>2</v>
      </c>
      <c r="E47" s="17" t="s">
        <v>16</v>
      </c>
      <c r="F47" s="17">
        <v>4</v>
      </c>
      <c r="G47" s="17">
        <v>1</v>
      </c>
      <c r="H47" s="63"/>
      <c r="I47" s="19">
        <v>75958.3</v>
      </c>
      <c r="J47" s="19">
        <v>500</v>
      </c>
      <c r="K47" s="19">
        <v>3297.9150000000004</v>
      </c>
      <c r="L47" s="20">
        <f t="shared" si="6"/>
        <v>11393.745000000001</v>
      </c>
      <c r="M47" s="19">
        <f t="shared" si="7"/>
        <v>474.73937500000005</v>
      </c>
      <c r="N47" s="25">
        <f t="shared" si="8"/>
        <v>60766.640000000007</v>
      </c>
      <c r="O47" s="45" t="s">
        <v>53</v>
      </c>
      <c r="P47" s="22"/>
      <c r="Q47" s="23"/>
      <c r="R47" s="23"/>
      <c r="S47" s="18"/>
    </row>
    <row r="48" spans="1:19" ht="14.4" x14ac:dyDescent="0.3">
      <c r="A48" s="22" t="s">
        <v>240</v>
      </c>
      <c r="B48" s="22" t="s">
        <v>195</v>
      </c>
      <c r="C48" s="8">
        <v>3</v>
      </c>
      <c r="D48" s="8">
        <v>2</v>
      </c>
      <c r="E48" s="17" t="s">
        <v>16</v>
      </c>
      <c r="F48" s="17">
        <v>1</v>
      </c>
      <c r="G48" s="17">
        <v>1</v>
      </c>
      <c r="H48" s="21" t="s">
        <v>79</v>
      </c>
      <c r="I48" s="19">
        <v>75958.3</v>
      </c>
      <c r="J48" s="19">
        <v>500</v>
      </c>
      <c r="K48" s="19">
        <v>3297.9150000000004</v>
      </c>
      <c r="L48" s="20">
        <f t="shared" si="6"/>
        <v>11393.745000000001</v>
      </c>
      <c r="M48" s="19">
        <f t="shared" si="7"/>
        <v>474.73937500000005</v>
      </c>
      <c r="N48" s="25">
        <f t="shared" si="8"/>
        <v>60766.640000000007</v>
      </c>
      <c r="O48" s="45" t="s">
        <v>18</v>
      </c>
      <c r="P48" s="22" t="s">
        <v>19</v>
      </c>
      <c r="Q48" s="23">
        <v>46104</v>
      </c>
      <c r="R48" s="47">
        <v>46135</v>
      </c>
      <c r="S48" s="18" t="s">
        <v>80</v>
      </c>
    </row>
    <row r="49" spans="1:19" ht="14.4" x14ac:dyDescent="0.3">
      <c r="A49" s="22" t="s">
        <v>241</v>
      </c>
      <c r="B49" s="22" t="s">
        <v>195</v>
      </c>
      <c r="C49" s="8">
        <v>3</v>
      </c>
      <c r="D49" s="8">
        <v>2</v>
      </c>
      <c r="E49" s="17" t="s">
        <v>16</v>
      </c>
      <c r="F49" s="17">
        <v>1</v>
      </c>
      <c r="G49" s="17">
        <v>1</v>
      </c>
      <c r="H49" s="26" t="s">
        <v>81</v>
      </c>
      <c r="I49" s="19">
        <v>75958.3</v>
      </c>
      <c r="J49" s="19">
        <v>500</v>
      </c>
      <c r="K49" s="19">
        <v>3297.9150000000004</v>
      </c>
      <c r="L49" s="20">
        <f t="shared" si="6"/>
        <v>11393.745000000001</v>
      </c>
      <c r="M49" s="19">
        <f t="shared" si="7"/>
        <v>474.73937500000005</v>
      </c>
      <c r="N49" s="25">
        <f t="shared" si="8"/>
        <v>60766.640000000007</v>
      </c>
      <c r="O49" s="30" t="s">
        <v>377</v>
      </c>
      <c r="P49" s="22" t="s">
        <v>82</v>
      </c>
      <c r="Q49" s="23">
        <v>46105</v>
      </c>
      <c r="R49" s="32">
        <v>46136</v>
      </c>
      <c r="S49" s="60"/>
    </row>
    <row r="50" spans="1:19" ht="17.25" customHeight="1" x14ac:dyDescent="0.3">
      <c r="A50" s="22" t="s">
        <v>242</v>
      </c>
      <c r="B50" s="22"/>
      <c r="C50" s="8">
        <v>3</v>
      </c>
      <c r="D50" s="8">
        <v>2</v>
      </c>
      <c r="E50" s="17" t="s">
        <v>16</v>
      </c>
      <c r="F50" s="17">
        <v>2</v>
      </c>
      <c r="G50" s="17">
        <v>1</v>
      </c>
      <c r="H50" s="63"/>
      <c r="I50" s="19">
        <v>70232.800000000003</v>
      </c>
      <c r="J50" s="19">
        <v>500</v>
      </c>
      <c r="K50" s="19">
        <v>3011.6400000000003</v>
      </c>
      <c r="L50" s="20">
        <f t="shared" si="6"/>
        <v>10534.92</v>
      </c>
      <c r="M50" s="19">
        <f t="shared" si="7"/>
        <v>438.95499999999998</v>
      </c>
      <c r="N50" s="25">
        <f t="shared" si="8"/>
        <v>56186.240000000005</v>
      </c>
      <c r="O50" s="45" t="s">
        <v>35</v>
      </c>
      <c r="P50" s="22" t="s">
        <v>22</v>
      </c>
      <c r="Q50" s="23">
        <v>46139</v>
      </c>
      <c r="R50" s="23">
        <f t="shared" ref="R50:R54" si="9">IF(Q50="","",Q50+2)</f>
        <v>46141</v>
      </c>
      <c r="S50" s="18"/>
    </row>
    <row r="51" spans="1:19" ht="14.4" x14ac:dyDescent="0.3">
      <c r="A51" s="22" t="s">
        <v>243</v>
      </c>
      <c r="B51" s="22"/>
      <c r="C51" s="8">
        <v>3</v>
      </c>
      <c r="D51" s="8">
        <v>2</v>
      </c>
      <c r="E51" s="17" t="s">
        <v>16</v>
      </c>
      <c r="F51" s="17">
        <v>2</v>
      </c>
      <c r="G51" s="17">
        <v>1</v>
      </c>
      <c r="H51" s="63"/>
      <c r="I51" s="19">
        <v>70232.800000000003</v>
      </c>
      <c r="J51" s="19">
        <v>500</v>
      </c>
      <c r="K51" s="19">
        <v>3011.6400000000003</v>
      </c>
      <c r="L51" s="20">
        <f t="shared" si="6"/>
        <v>10534.92</v>
      </c>
      <c r="M51" s="19">
        <f t="shared" si="7"/>
        <v>438.95499999999998</v>
      </c>
      <c r="N51" s="25">
        <f t="shared" si="8"/>
        <v>56186.240000000005</v>
      </c>
      <c r="O51" s="45" t="s">
        <v>35</v>
      </c>
      <c r="P51" s="22" t="s">
        <v>22</v>
      </c>
      <c r="Q51" s="23">
        <v>46139</v>
      </c>
      <c r="R51" s="23">
        <f t="shared" ref="R51" si="10">IF(Q51="","",Q51+2)</f>
        <v>46141</v>
      </c>
      <c r="S51" s="18"/>
    </row>
    <row r="52" spans="1:19" ht="14.4" x14ac:dyDescent="0.3">
      <c r="A52" s="22" t="s">
        <v>244</v>
      </c>
      <c r="B52" s="22"/>
      <c r="C52" s="8">
        <v>3</v>
      </c>
      <c r="D52" s="8">
        <v>2</v>
      </c>
      <c r="E52" s="17" t="s">
        <v>16</v>
      </c>
      <c r="F52" s="17">
        <v>3</v>
      </c>
      <c r="G52" s="17">
        <v>1</v>
      </c>
      <c r="H52" s="21" t="s">
        <v>83</v>
      </c>
      <c r="I52" s="19">
        <v>66415.8</v>
      </c>
      <c r="J52" s="19">
        <v>500</v>
      </c>
      <c r="K52" s="19">
        <v>2820.7900000000004</v>
      </c>
      <c r="L52" s="20">
        <f t="shared" si="6"/>
        <v>9962.3700000000008</v>
      </c>
      <c r="M52" s="19">
        <f t="shared" si="7"/>
        <v>415.09875000000005</v>
      </c>
      <c r="N52" s="25">
        <f t="shared" si="8"/>
        <v>53132.639999999999</v>
      </c>
      <c r="O52" s="45" t="s">
        <v>18</v>
      </c>
      <c r="P52" s="22" t="s">
        <v>19</v>
      </c>
      <c r="Q52" s="23">
        <v>46123</v>
      </c>
      <c r="R52" s="23">
        <v>46153</v>
      </c>
      <c r="S52" s="18" t="s">
        <v>84</v>
      </c>
    </row>
    <row r="53" spans="1:19" ht="14.4" x14ac:dyDescent="0.3">
      <c r="A53" s="22" t="s">
        <v>245</v>
      </c>
      <c r="B53" s="22"/>
      <c r="C53" s="8">
        <v>3</v>
      </c>
      <c r="D53" s="8">
        <v>2</v>
      </c>
      <c r="E53" s="17" t="s">
        <v>16</v>
      </c>
      <c r="F53" s="17">
        <v>3</v>
      </c>
      <c r="G53" s="17">
        <v>1</v>
      </c>
      <c r="H53" s="21" t="s">
        <v>85</v>
      </c>
      <c r="I53" s="19">
        <v>66415.8</v>
      </c>
      <c r="J53" s="19">
        <v>500</v>
      </c>
      <c r="K53" s="19">
        <v>2820.7900000000004</v>
      </c>
      <c r="L53" s="20">
        <f t="shared" si="6"/>
        <v>9962.3700000000008</v>
      </c>
      <c r="M53" s="19">
        <f t="shared" si="7"/>
        <v>415.09875000000005</v>
      </c>
      <c r="N53" s="25">
        <f t="shared" si="8"/>
        <v>53132.639999999999</v>
      </c>
      <c r="O53" s="45" t="s">
        <v>18</v>
      </c>
      <c r="P53" s="22" t="s">
        <v>378</v>
      </c>
      <c r="Q53" s="23">
        <v>46132</v>
      </c>
      <c r="R53" s="23">
        <v>46162</v>
      </c>
      <c r="S53" s="18" t="s">
        <v>86</v>
      </c>
    </row>
    <row r="54" spans="1:19" ht="14.4" x14ac:dyDescent="0.3">
      <c r="A54" s="22" t="s">
        <v>246</v>
      </c>
      <c r="B54" s="22" t="s">
        <v>196</v>
      </c>
      <c r="C54" s="8">
        <v>3</v>
      </c>
      <c r="D54" s="8">
        <v>2</v>
      </c>
      <c r="E54" s="17" t="s">
        <v>16</v>
      </c>
      <c r="F54" s="17">
        <v>4</v>
      </c>
      <c r="G54" s="17">
        <v>1</v>
      </c>
      <c r="H54" s="63"/>
      <c r="I54" s="19">
        <v>75958.3</v>
      </c>
      <c r="J54" s="19">
        <v>500</v>
      </c>
      <c r="K54" s="19">
        <v>3297.9150000000004</v>
      </c>
      <c r="L54" s="20">
        <f t="shared" si="6"/>
        <v>11393.745000000001</v>
      </c>
      <c r="M54" s="19">
        <f t="shared" si="7"/>
        <v>474.73937500000005</v>
      </c>
      <c r="N54" s="25">
        <f t="shared" si="8"/>
        <v>60766.640000000007</v>
      </c>
      <c r="O54" s="45" t="s">
        <v>53</v>
      </c>
      <c r="P54" s="22"/>
      <c r="Q54" s="22"/>
      <c r="R54" s="23" t="str">
        <f t="shared" si="9"/>
        <v/>
      </c>
      <c r="S54" s="18"/>
    </row>
    <row r="55" spans="1:19" ht="14.4" x14ac:dyDescent="0.3">
      <c r="A55" s="22" t="s">
        <v>247</v>
      </c>
      <c r="B55" s="22" t="s">
        <v>196</v>
      </c>
      <c r="C55" s="8">
        <v>3</v>
      </c>
      <c r="D55" s="8">
        <v>2</v>
      </c>
      <c r="E55" s="17" t="s">
        <v>16</v>
      </c>
      <c r="F55" s="17">
        <v>4</v>
      </c>
      <c r="G55" s="17">
        <v>1</v>
      </c>
      <c r="H55" s="21" t="s">
        <v>87</v>
      </c>
      <c r="I55" s="19">
        <v>75958.3</v>
      </c>
      <c r="J55" s="19">
        <v>500</v>
      </c>
      <c r="K55" s="19">
        <v>3297.9150000000004</v>
      </c>
      <c r="L55" s="20">
        <f t="shared" si="6"/>
        <v>11393.745000000001</v>
      </c>
      <c r="M55" s="19">
        <f t="shared" si="7"/>
        <v>474.73937500000005</v>
      </c>
      <c r="N55" s="25">
        <f t="shared" si="8"/>
        <v>60766.640000000007</v>
      </c>
      <c r="O55" s="45" t="s">
        <v>18</v>
      </c>
      <c r="P55" s="22" t="s">
        <v>19</v>
      </c>
      <c r="Q55" s="23">
        <v>46133</v>
      </c>
      <c r="R55" s="23">
        <v>46163</v>
      </c>
      <c r="S55" s="18" t="s">
        <v>88</v>
      </c>
    </row>
    <row r="56" spans="1:19" ht="14.4" x14ac:dyDescent="0.3">
      <c r="A56" s="22" t="s">
        <v>248</v>
      </c>
      <c r="B56" s="22" t="s">
        <v>195</v>
      </c>
      <c r="C56" s="8">
        <v>3</v>
      </c>
      <c r="D56" s="8">
        <v>2</v>
      </c>
      <c r="E56" s="27" t="s">
        <v>16</v>
      </c>
      <c r="F56" s="27">
        <v>1</v>
      </c>
      <c r="G56" s="27">
        <v>1</v>
      </c>
      <c r="H56" s="21"/>
      <c r="I56" s="19">
        <v>75958.3</v>
      </c>
      <c r="J56" s="19">
        <v>500</v>
      </c>
      <c r="K56" s="19">
        <v>3297.9150000000004</v>
      </c>
      <c r="L56" s="20">
        <f t="shared" ref="L56:L71" si="11">+I56*15%</f>
        <v>11393.745000000001</v>
      </c>
      <c r="M56" s="19">
        <f t="shared" ref="M56:M71" si="12">+L56/24</f>
        <v>474.73937500000005</v>
      </c>
      <c r="N56" s="25">
        <f t="shared" ref="N56:N71" si="13">+I56-J56-K56-L56</f>
        <v>60766.640000000007</v>
      </c>
      <c r="O56" s="45" t="s">
        <v>53</v>
      </c>
      <c r="P56" s="22"/>
      <c r="Q56" s="23"/>
      <c r="R56" s="23"/>
      <c r="S56" s="18"/>
    </row>
    <row r="57" spans="1:19" ht="14.4" x14ac:dyDescent="0.3">
      <c r="A57" s="22" t="s">
        <v>249</v>
      </c>
      <c r="B57" s="22" t="s">
        <v>195</v>
      </c>
      <c r="C57" s="8">
        <v>3</v>
      </c>
      <c r="D57" s="8">
        <v>2</v>
      </c>
      <c r="E57" s="27" t="s">
        <v>16</v>
      </c>
      <c r="F57" s="27">
        <v>1</v>
      </c>
      <c r="G57" s="27">
        <v>1</v>
      </c>
      <c r="H57" s="21"/>
      <c r="I57" s="19">
        <v>75958.3</v>
      </c>
      <c r="J57" s="19">
        <v>500</v>
      </c>
      <c r="K57" s="19">
        <v>3297.9150000000004</v>
      </c>
      <c r="L57" s="20">
        <f t="shared" si="11"/>
        <v>11393.745000000001</v>
      </c>
      <c r="M57" s="19">
        <f t="shared" si="12"/>
        <v>474.73937500000005</v>
      </c>
      <c r="N57" s="25">
        <f t="shared" si="13"/>
        <v>60766.640000000007</v>
      </c>
      <c r="O57" s="45" t="s">
        <v>53</v>
      </c>
      <c r="P57" s="22"/>
      <c r="Q57" s="23"/>
      <c r="R57" s="23"/>
      <c r="S57" s="18"/>
    </row>
    <row r="58" spans="1:19" ht="14.4" x14ac:dyDescent="0.3">
      <c r="A58" s="22" t="s">
        <v>250</v>
      </c>
      <c r="B58" s="22"/>
      <c r="C58" s="8">
        <v>3</v>
      </c>
      <c r="D58" s="8">
        <v>2</v>
      </c>
      <c r="E58" s="27" t="s">
        <v>16</v>
      </c>
      <c r="F58" s="27">
        <v>2</v>
      </c>
      <c r="G58" s="27">
        <v>1</v>
      </c>
      <c r="H58" s="21"/>
      <c r="I58" s="19">
        <v>70232.800000000003</v>
      </c>
      <c r="J58" s="19">
        <v>500</v>
      </c>
      <c r="K58" s="19">
        <v>3011.6400000000003</v>
      </c>
      <c r="L58" s="20">
        <f t="shared" si="11"/>
        <v>10534.92</v>
      </c>
      <c r="M58" s="19">
        <f t="shared" si="12"/>
        <v>438.95499999999998</v>
      </c>
      <c r="N58" s="25">
        <f t="shared" si="13"/>
        <v>56186.240000000005</v>
      </c>
      <c r="O58" s="45" t="s">
        <v>53</v>
      </c>
      <c r="P58" s="22"/>
      <c r="Q58" s="23"/>
      <c r="R58" s="23"/>
      <c r="S58" s="18"/>
    </row>
    <row r="59" spans="1:19" ht="14.4" x14ac:dyDescent="0.3">
      <c r="A59" s="22" t="s">
        <v>251</v>
      </c>
      <c r="B59" s="22"/>
      <c r="C59" s="8">
        <v>3</v>
      </c>
      <c r="D59" s="8">
        <v>2</v>
      </c>
      <c r="E59" s="27" t="s">
        <v>16</v>
      </c>
      <c r="F59" s="27">
        <v>2</v>
      </c>
      <c r="G59" s="27">
        <v>1</v>
      </c>
      <c r="H59" s="21"/>
      <c r="I59" s="19">
        <v>70232.800000000003</v>
      </c>
      <c r="J59" s="19">
        <v>500</v>
      </c>
      <c r="K59" s="19">
        <v>3011.6400000000003</v>
      </c>
      <c r="L59" s="20">
        <f t="shared" si="11"/>
        <v>10534.92</v>
      </c>
      <c r="M59" s="19">
        <f t="shared" si="12"/>
        <v>438.95499999999998</v>
      </c>
      <c r="N59" s="25">
        <f t="shared" si="13"/>
        <v>56186.240000000005</v>
      </c>
      <c r="O59" s="45" t="s">
        <v>53</v>
      </c>
      <c r="P59" s="22"/>
      <c r="Q59" s="23"/>
      <c r="R59" s="23"/>
      <c r="S59" s="18"/>
    </row>
    <row r="60" spans="1:19" ht="14.4" x14ac:dyDescent="0.3">
      <c r="A60" s="22" t="s">
        <v>252</v>
      </c>
      <c r="B60" s="22"/>
      <c r="C60" s="8">
        <v>3</v>
      </c>
      <c r="D60" s="8">
        <v>2</v>
      </c>
      <c r="E60" s="27" t="s">
        <v>16</v>
      </c>
      <c r="F60" s="27">
        <v>3</v>
      </c>
      <c r="G60" s="27">
        <v>1</v>
      </c>
      <c r="H60" s="21"/>
      <c r="I60" s="19">
        <v>66415.8</v>
      </c>
      <c r="J60" s="19">
        <v>500</v>
      </c>
      <c r="K60" s="19">
        <v>2820.7900000000004</v>
      </c>
      <c r="L60" s="20">
        <f t="shared" si="11"/>
        <v>9962.3700000000008</v>
      </c>
      <c r="M60" s="19">
        <f t="shared" si="12"/>
        <v>415.09875000000005</v>
      </c>
      <c r="N60" s="25">
        <f t="shared" si="13"/>
        <v>53132.639999999999</v>
      </c>
      <c r="O60" s="45" t="s">
        <v>53</v>
      </c>
      <c r="P60" s="22"/>
      <c r="Q60" s="23"/>
      <c r="R60" s="23"/>
      <c r="S60" s="18"/>
    </row>
    <row r="61" spans="1:19" ht="14.4" x14ac:dyDescent="0.3">
      <c r="A61" s="22" t="s">
        <v>253</v>
      </c>
      <c r="B61" s="22"/>
      <c r="C61" s="8">
        <v>3</v>
      </c>
      <c r="D61" s="8">
        <v>2</v>
      </c>
      <c r="E61" s="27" t="s">
        <v>16</v>
      </c>
      <c r="F61" s="27">
        <v>3</v>
      </c>
      <c r="G61" s="27">
        <v>1</v>
      </c>
      <c r="H61" s="21"/>
      <c r="I61" s="19">
        <v>66415.8</v>
      </c>
      <c r="J61" s="19">
        <v>500</v>
      </c>
      <c r="K61" s="19">
        <v>2820.7900000000004</v>
      </c>
      <c r="L61" s="20">
        <f t="shared" si="11"/>
        <v>9962.3700000000008</v>
      </c>
      <c r="M61" s="19">
        <f t="shared" si="12"/>
        <v>415.09875000000005</v>
      </c>
      <c r="N61" s="25">
        <f t="shared" si="13"/>
        <v>53132.639999999999</v>
      </c>
      <c r="O61" s="45" t="s">
        <v>53</v>
      </c>
      <c r="P61" s="22"/>
      <c r="Q61" s="23"/>
      <c r="R61" s="23"/>
      <c r="S61" s="18"/>
    </row>
    <row r="62" spans="1:19" ht="14.4" x14ac:dyDescent="0.3">
      <c r="A62" s="22" t="s">
        <v>254</v>
      </c>
      <c r="B62" s="22" t="s">
        <v>196</v>
      </c>
      <c r="C62" s="8">
        <v>3</v>
      </c>
      <c r="D62" s="8">
        <v>2</v>
      </c>
      <c r="E62" s="27" t="s">
        <v>16</v>
      </c>
      <c r="F62" s="27">
        <v>4</v>
      </c>
      <c r="G62" s="27">
        <v>1</v>
      </c>
      <c r="H62" s="21"/>
      <c r="I62" s="19">
        <v>75958.3</v>
      </c>
      <c r="J62" s="19">
        <v>500</v>
      </c>
      <c r="K62" s="19">
        <v>3297.9150000000004</v>
      </c>
      <c r="L62" s="20">
        <f t="shared" si="11"/>
        <v>11393.745000000001</v>
      </c>
      <c r="M62" s="19">
        <f t="shared" si="12"/>
        <v>474.73937500000005</v>
      </c>
      <c r="N62" s="25">
        <f t="shared" si="13"/>
        <v>60766.640000000007</v>
      </c>
      <c r="O62" s="45" t="s">
        <v>53</v>
      </c>
      <c r="P62" s="22"/>
      <c r="Q62" s="23"/>
      <c r="R62" s="23"/>
      <c r="S62" s="18"/>
    </row>
    <row r="63" spans="1:19" ht="14.4" x14ac:dyDescent="0.3">
      <c r="A63" s="22" t="s">
        <v>255</v>
      </c>
      <c r="B63" s="22" t="s">
        <v>196</v>
      </c>
      <c r="C63" s="8">
        <v>3</v>
      </c>
      <c r="D63" s="8">
        <v>2</v>
      </c>
      <c r="E63" s="27" t="s">
        <v>16</v>
      </c>
      <c r="F63" s="27">
        <v>4</v>
      </c>
      <c r="G63" s="27">
        <v>1</v>
      </c>
      <c r="H63" s="21"/>
      <c r="I63" s="19">
        <v>75958.3</v>
      </c>
      <c r="J63" s="19">
        <v>500</v>
      </c>
      <c r="K63" s="19">
        <v>3297.9150000000004</v>
      </c>
      <c r="L63" s="20">
        <f t="shared" si="11"/>
        <v>11393.745000000001</v>
      </c>
      <c r="M63" s="19">
        <f t="shared" si="12"/>
        <v>474.73937500000005</v>
      </c>
      <c r="N63" s="25">
        <f t="shared" si="13"/>
        <v>60766.640000000007</v>
      </c>
      <c r="O63" s="45" t="s">
        <v>53</v>
      </c>
      <c r="P63" s="22"/>
      <c r="Q63" s="23"/>
      <c r="R63" s="23"/>
      <c r="S63" s="18"/>
    </row>
    <row r="64" spans="1:19" ht="14.4" x14ac:dyDescent="0.3">
      <c r="A64" s="22" t="s">
        <v>256</v>
      </c>
      <c r="B64" s="22" t="s">
        <v>195</v>
      </c>
      <c r="C64" s="8">
        <v>3</v>
      </c>
      <c r="D64" s="8">
        <v>2</v>
      </c>
      <c r="E64" s="27" t="s">
        <v>16</v>
      </c>
      <c r="F64" s="27">
        <v>1</v>
      </c>
      <c r="G64" s="27">
        <v>1</v>
      </c>
      <c r="H64" s="21"/>
      <c r="I64" s="19">
        <v>75958.3</v>
      </c>
      <c r="J64" s="19">
        <v>500</v>
      </c>
      <c r="K64" s="19">
        <v>3297.9150000000004</v>
      </c>
      <c r="L64" s="20">
        <f t="shared" si="11"/>
        <v>11393.745000000001</v>
      </c>
      <c r="M64" s="19">
        <f t="shared" si="12"/>
        <v>474.73937500000005</v>
      </c>
      <c r="N64" s="25">
        <f t="shared" si="13"/>
        <v>60766.640000000007</v>
      </c>
      <c r="O64" s="45" t="s">
        <v>53</v>
      </c>
      <c r="P64" s="22"/>
      <c r="Q64" s="23"/>
      <c r="R64" s="23"/>
      <c r="S64" s="18"/>
    </row>
    <row r="65" spans="1:19" ht="14.4" x14ac:dyDescent="0.3">
      <c r="A65" s="22" t="s">
        <v>257</v>
      </c>
      <c r="B65" s="22" t="s">
        <v>195</v>
      </c>
      <c r="C65" s="8">
        <v>3</v>
      </c>
      <c r="D65" s="8">
        <v>2</v>
      </c>
      <c r="E65" s="27" t="s">
        <v>16</v>
      </c>
      <c r="F65" s="27">
        <v>1</v>
      </c>
      <c r="G65" s="27">
        <v>1</v>
      </c>
      <c r="H65" s="21"/>
      <c r="I65" s="19">
        <v>75958.3</v>
      </c>
      <c r="J65" s="19">
        <v>500</v>
      </c>
      <c r="K65" s="19">
        <v>3297.9150000000004</v>
      </c>
      <c r="L65" s="20">
        <f t="shared" si="11"/>
        <v>11393.745000000001</v>
      </c>
      <c r="M65" s="19">
        <f t="shared" si="12"/>
        <v>474.73937500000005</v>
      </c>
      <c r="N65" s="25">
        <f t="shared" si="13"/>
        <v>60766.640000000007</v>
      </c>
      <c r="O65" s="45" t="s">
        <v>35</v>
      </c>
      <c r="P65" s="22" t="s">
        <v>378</v>
      </c>
      <c r="Q65" s="23"/>
      <c r="R65" s="23"/>
      <c r="S65" s="18" t="s">
        <v>380</v>
      </c>
    </row>
    <row r="66" spans="1:19" ht="14.4" x14ac:dyDescent="0.3">
      <c r="A66" s="22" t="s">
        <v>258</v>
      </c>
      <c r="B66" s="22"/>
      <c r="C66" s="8">
        <v>3</v>
      </c>
      <c r="D66" s="8">
        <v>2</v>
      </c>
      <c r="E66" s="27" t="s">
        <v>16</v>
      </c>
      <c r="F66" s="27">
        <v>2</v>
      </c>
      <c r="G66" s="27">
        <v>1</v>
      </c>
      <c r="H66" s="21"/>
      <c r="I66" s="19">
        <v>70232.800000000003</v>
      </c>
      <c r="J66" s="19">
        <v>500</v>
      </c>
      <c r="K66" s="19">
        <v>3011.6400000000003</v>
      </c>
      <c r="L66" s="20">
        <f t="shared" si="11"/>
        <v>10534.92</v>
      </c>
      <c r="M66" s="19">
        <f t="shared" si="12"/>
        <v>438.95499999999998</v>
      </c>
      <c r="N66" s="25">
        <f t="shared" si="13"/>
        <v>56186.240000000005</v>
      </c>
      <c r="O66" s="45" t="s">
        <v>53</v>
      </c>
      <c r="P66" s="22"/>
      <c r="Q66" s="23"/>
      <c r="R66" s="23"/>
      <c r="S66" s="18"/>
    </row>
    <row r="67" spans="1:19" ht="14.4" x14ac:dyDescent="0.3">
      <c r="A67" s="22" t="s">
        <v>259</v>
      </c>
      <c r="B67" s="22"/>
      <c r="C67" s="8">
        <v>3</v>
      </c>
      <c r="D67" s="8">
        <v>2</v>
      </c>
      <c r="E67" s="27" t="s">
        <v>16</v>
      </c>
      <c r="F67" s="27">
        <v>2</v>
      </c>
      <c r="G67" s="27">
        <v>1</v>
      </c>
      <c r="H67" s="21"/>
      <c r="I67" s="19">
        <v>70232.800000000003</v>
      </c>
      <c r="J67" s="19">
        <v>500</v>
      </c>
      <c r="K67" s="19">
        <v>3011.6400000000003</v>
      </c>
      <c r="L67" s="20">
        <f t="shared" si="11"/>
        <v>10534.92</v>
      </c>
      <c r="M67" s="19">
        <f t="shared" si="12"/>
        <v>438.95499999999998</v>
      </c>
      <c r="N67" s="25">
        <f t="shared" si="13"/>
        <v>56186.240000000005</v>
      </c>
      <c r="O67" s="45" t="s">
        <v>53</v>
      </c>
      <c r="P67" s="22"/>
      <c r="Q67" s="23"/>
      <c r="R67" s="23"/>
      <c r="S67" s="18"/>
    </row>
    <row r="68" spans="1:19" ht="14.4" x14ac:dyDescent="0.3">
      <c r="A68" s="22" t="s">
        <v>260</v>
      </c>
      <c r="B68" s="22"/>
      <c r="C68" s="8">
        <v>3</v>
      </c>
      <c r="D68" s="8">
        <v>2</v>
      </c>
      <c r="E68" s="27" t="s">
        <v>16</v>
      </c>
      <c r="F68" s="27">
        <v>3</v>
      </c>
      <c r="G68" s="27">
        <v>1</v>
      </c>
      <c r="H68" s="21"/>
      <c r="I68" s="19">
        <v>66415.8</v>
      </c>
      <c r="J68" s="19">
        <v>500</v>
      </c>
      <c r="K68" s="19">
        <v>2820.7900000000004</v>
      </c>
      <c r="L68" s="20">
        <f t="shared" si="11"/>
        <v>9962.3700000000008</v>
      </c>
      <c r="M68" s="19">
        <f t="shared" si="12"/>
        <v>415.09875000000005</v>
      </c>
      <c r="N68" s="25">
        <f t="shared" si="13"/>
        <v>53132.639999999999</v>
      </c>
      <c r="O68" s="45" t="s">
        <v>53</v>
      </c>
      <c r="P68" s="22"/>
      <c r="Q68" s="23"/>
      <c r="R68" s="23"/>
      <c r="S68" s="18"/>
    </row>
    <row r="69" spans="1:19" ht="14.4" x14ac:dyDescent="0.3">
      <c r="A69" s="22" t="s">
        <v>261</v>
      </c>
      <c r="B69" s="22"/>
      <c r="C69" s="8">
        <v>3</v>
      </c>
      <c r="D69" s="8">
        <v>2</v>
      </c>
      <c r="E69" s="27" t="s">
        <v>16</v>
      </c>
      <c r="F69" s="27">
        <v>3</v>
      </c>
      <c r="G69" s="27">
        <v>1</v>
      </c>
      <c r="H69" s="21"/>
      <c r="I69" s="19">
        <v>66415.8</v>
      </c>
      <c r="J69" s="19">
        <v>500</v>
      </c>
      <c r="K69" s="19">
        <v>2820.7900000000004</v>
      </c>
      <c r="L69" s="20">
        <f t="shared" si="11"/>
        <v>9962.3700000000008</v>
      </c>
      <c r="M69" s="19">
        <f t="shared" si="12"/>
        <v>415.09875000000005</v>
      </c>
      <c r="N69" s="25">
        <f t="shared" si="13"/>
        <v>53132.639999999999</v>
      </c>
      <c r="O69" s="45" t="s">
        <v>53</v>
      </c>
      <c r="P69" s="22"/>
      <c r="Q69" s="23"/>
      <c r="R69" s="23"/>
      <c r="S69" s="18"/>
    </row>
    <row r="70" spans="1:19" ht="14.4" x14ac:dyDescent="0.3">
      <c r="A70" s="22" t="s">
        <v>262</v>
      </c>
      <c r="B70" s="22" t="s">
        <v>196</v>
      </c>
      <c r="C70" s="8">
        <v>3</v>
      </c>
      <c r="D70" s="8">
        <v>2</v>
      </c>
      <c r="E70" s="27" t="s">
        <v>16</v>
      </c>
      <c r="F70" s="27">
        <v>4</v>
      </c>
      <c r="G70" s="27">
        <v>1</v>
      </c>
      <c r="H70" s="21"/>
      <c r="I70" s="19">
        <v>75958.3</v>
      </c>
      <c r="J70" s="19">
        <v>500</v>
      </c>
      <c r="K70" s="19">
        <v>3297.9150000000004</v>
      </c>
      <c r="L70" s="20">
        <f t="shared" si="11"/>
        <v>11393.745000000001</v>
      </c>
      <c r="M70" s="19">
        <f t="shared" si="12"/>
        <v>474.73937500000005</v>
      </c>
      <c r="N70" s="25">
        <f t="shared" si="13"/>
        <v>60766.640000000007</v>
      </c>
      <c r="O70" s="45" t="s">
        <v>53</v>
      </c>
      <c r="P70" s="22"/>
      <c r="Q70" s="23"/>
      <c r="R70" s="23"/>
      <c r="S70" s="18"/>
    </row>
    <row r="71" spans="1:19" ht="14.4" x14ac:dyDescent="0.3">
      <c r="A71" s="22" t="s">
        <v>263</v>
      </c>
      <c r="B71" s="22" t="s">
        <v>196</v>
      </c>
      <c r="C71" s="8">
        <v>3</v>
      </c>
      <c r="D71" s="8">
        <v>2</v>
      </c>
      <c r="E71" s="27" t="s">
        <v>16</v>
      </c>
      <c r="F71" s="27">
        <v>4</v>
      </c>
      <c r="G71" s="27">
        <v>1</v>
      </c>
      <c r="H71" s="21"/>
      <c r="I71" s="19">
        <v>75958.3</v>
      </c>
      <c r="J71" s="19">
        <v>500</v>
      </c>
      <c r="K71" s="19">
        <v>3297.9150000000004</v>
      </c>
      <c r="L71" s="20">
        <f t="shared" si="11"/>
        <v>11393.745000000001</v>
      </c>
      <c r="M71" s="19">
        <f t="shared" si="12"/>
        <v>474.73937500000005</v>
      </c>
      <c r="N71" s="25">
        <f t="shared" si="13"/>
        <v>60766.640000000007</v>
      </c>
      <c r="O71" s="45" t="s">
        <v>53</v>
      </c>
      <c r="P71" s="22"/>
      <c r="Q71" s="23"/>
      <c r="R71" s="23"/>
      <c r="S71" s="18"/>
    </row>
    <row r="72" spans="1:19" ht="14.4" x14ac:dyDescent="0.3">
      <c r="A72" s="22" t="s">
        <v>264</v>
      </c>
      <c r="B72" s="22"/>
      <c r="C72" s="8">
        <v>3</v>
      </c>
      <c r="D72" s="8">
        <v>2</v>
      </c>
      <c r="E72" s="8" t="s">
        <v>15</v>
      </c>
      <c r="F72" s="8">
        <v>1</v>
      </c>
      <c r="G72" s="8">
        <v>1</v>
      </c>
      <c r="H72" s="16" t="s">
        <v>89</v>
      </c>
      <c r="I72" s="9">
        <v>75933.25</v>
      </c>
      <c r="J72" s="9">
        <v>500</v>
      </c>
      <c r="K72" s="9">
        <v>3296.6625000000004</v>
      </c>
      <c r="L72" s="28">
        <f t="shared" si="0"/>
        <v>11389.987499999999</v>
      </c>
      <c r="M72" s="9">
        <f t="shared" si="1"/>
        <v>474.58281249999999</v>
      </c>
      <c r="N72" s="29">
        <f t="shared" ref="N72:N87" si="14">+I72-L72-J72-K72</f>
        <v>60746.6</v>
      </c>
      <c r="O72" s="30" t="s">
        <v>377</v>
      </c>
      <c r="P72" s="22" t="s">
        <v>19</v>
      </c>
      <c r="Q72" s="23">
        <v>46094</v>
      </c>
      <c r="R72" s="32">
        <v>46125</v>
      </c>
      <c r="S72" s="60"/>
    </row>
    <row r="73" spans="1:19" ht="14.4" x14ac:dyDescent="0.3">
      <c r="A73" s="22" t="s">
        <v>265</v>
      </c>
      <c r="B73" s="22"/>
      <c r="C73" s="8">
        <v>3</v>
      </c>
      <c r="D73" s="8">
        <v>2</v>
      </c>
      <c r="E73" s="8" t="s">
        <v>15</v>
      </c>
      <c r="F73" s="8">
        <v>1</v>
      </c>
      <c r="G73" s="8">
        <v>1</v>
      </c>
      <c r="H73" s="16" t="s">
        <v>90</v>
      </c>
      <c r="I73" s="9">
        <v>75933.25</v>
      </c>
      <c r="J73" s="9">
        <v>500</v>
      </c>
      <c r="K73" s="9">
        <v>3296.6625000000004</v>
      </c>
      <c r="L73" s="28">
        <f t="shared" si="0"/>
        <v>11389.987499999999</v>
      </c>
      <c r="M73" s="9">
        <f t="shared" si="1"/>
        <v>474.58281249999999</v>
      </c>
      <c r="N73" s="29">
        <f t="shared" si="14"/>
        <v>60746.6</v>
      </c>
      <c r="O73" s="30" t="s">
        <v>18</v>
      </c>
      <c r="P73" s="22" t="s">
        <v>19</v>
      </c>
      <c r="Q73" s="23">
        <v>46094</v>
      </c>
      <c r="R73" s="37">
        <v>46125</v>
      </c>
      <c r="S73" s="18" t="s">
        <v>91</v>
      </c>
    </row>
    <row r="74" spans="1:19" ht="14.4" x14ac:dyDescent="0.3">
      <c r="A74" s="22" t="s">
        <v>266</v>
      </c>
      <c r="B74" s="22"/>
      <c r="C74" s="8">
        <v>3</v>
      </c>
      <c r="D74" s="8">
        <v>2</v>
      </c>
      <c r="E74" s="8" t="s">
        <v>15</v>
      </c>
      <c r="F74" s="8">
        <v>1</v>
      </c>
      <c r="G74" s="8">
        <v>1</v>
      </c>
      <c r="H74" s="16" t="s">
        <v>92</v>
      </c>
      <c r="I74" s="9">
        <v>79531.5</v>
      </c>
      <c r="J74" s="9">
        <v>500</v>
      </c>
      <c r="K74" s="9">
        <v>3476.5750000000003</v>
      </c>
      <c r="L74" s="28">
        <f t="shared" si="0"/>
        <v>11929.725</v>
      </c>
      <c r="M74" s="9">
        <f t="shared" si="1"/>
        <v>497.07187500000003</v>
      </c>
      <c r="N74" s="29">
        <f t="shared" si="14"/>
        <v>63625.2</v>
      </c>
      <c r="O74" s="30" t="s">
        <v>18</v>
      </c>
      <c r="P74" s="22" t="s">
        <v>34</v>
      </c>
      <c r="Q74" s="23">
        <v>46091</v>
      </c>
      <c r="R74" s="37">
        <v>46122</v>
      </c>
      <c r="S74" s="18" t="s">
        <v>93</v>
      </c>
    </row>
    <row r="75" spans="1:19" ht="14.4" x14ac:dyDescent="0.3">
      <c r="A75" s="22" t="s">
        <v>267</v>
      </c>
      <c r="B75" s="22"/>
      <c r="C75" s="8">
        <v>3</v>
      </c>
      <c r="D75" s="8">
        <v>2</v>
      </c>
      <c r="E75" s="8" t="s">
        <v>15</v>
      </c>
      <c r="F75" s="8">
        <v>1</v>
      </c>
      <c r="G75" s="8">
        <v>1</v>
      </c>
      <c r="H75" s="16" t="s">
        <v>94</v>
      </c>
      <c r="I75" s="9">
        <v>79531.5</v>
      </c>
      <c r="J75" s="9">
        <v>500</v>
      </c>
      <c r="K75" s="9">
        <v>3476.5750000000003</v>
      </c>
      <c r="L75" s="28">
        <f t="shared" si="0"/>
        <v>11929.725</v>
      </c>
      <c r="M75" s="9">
        <f t="shared" si="1"/>
        <v>497.07187500000003</v>
      </c>
      <c r="N75" s="29">
        <f t="shared" si="14"/>
        <v>63625.2</v>
      </c>
      <c r="O75" s="30" t="s">
        <v>377</v>
      </c>
      <c r="P75" s="22" t="s">
        <v>22</v>
      </c>
      <c r="Q75" s="23">
        <v>46099</v>
      </c>
      <c r="R75" s="32">
        <v>46130</v>
      </c>
      <c r="S75" s="60"/>
    </row>
    <row r="76" spans="1:19" ht="14.4" x14ac:dyDescent="0.3">
      <c r="A76" s="22" t="s">
        <v>268</v>
      </c>
      <c r="B76" s="22"/>
      <c r="C76" s="8">
        <v>3</v>
      </c>
      <c r="D76" s="8">
        <v>2</v>
      </c>
      <c r="E76" s="8" t="s">
        <v>15</v>
      </c>
      <c r="F76" s="8">
        <v>2</v>
      </c>
      <c r="G76" s="8">
        <v>1</v>
      </c>
      <c r="H76" s="16" t="s">
        <v>95</v>
      </c>
      <c r="I76" s="9">
        <v>75522.8</v>
      </c>
      <c r="J76" s="9">
        <v>500</v>
      </c>
      <c r="K76" s="9">
        <v>3276.1400000000003</v>
      </c>
      <c r="L76" s="28">
        <f t="shared" si="0"/>
        <v>11328.42</v>
      </c>
      <c r="M76" s="9">
        <f t="shared" si="1"/>
        <v>472.01749999999998</v>
      </c>
      <c r="N76" s="29">
        <f t="shared" si="14"/>
        <v>60418.240000000005</v>
      </c>
      <c r="O76" s="30" t="s">
        <v>377</v>
      </c>
      <c r="P76" s="22" t="s">
        <v>82</v>
      </c>
      <c r="Q76" s="23">
        <v>46083</v>
      </c>
      <c r="R76" s="32">
        <v>46114</v>
      </c>
      <c r="S76" s="60"/>
    </row>
    <row r="77" spans="1:19" ht="14.4" x14ac:dyDescent="0.3">
      <c r="A77" s="22" t="s">
        <v>269</v>
      </c>
      <c r="B77" s="22"/>
      <c r="C77" s="8">
        <v>3</v>
      </c>
      <c r="D77" s="8">
        <v>2</v>
      </c>
      <c r="E77" s="8" t="s">
        <v>15</v>
      </c>
      <c r="F77" s="8">
        <v>2</v>
      </c>
      <c r="G77" s="8">
        <v>1</v>
      </c>
      <c r="H77" s="16" t="s">
        <v>96</v>
      </c>
      <c r="I77" s="9">
        <v>75522.8</v>
      </c>
      <c r="J77" s="9">
        <v>500</v>
      </c>
      <c r="K77" s="9">
        <v>3276.1400000000003</v>
      </c>
      <c r="L77" s="28">
        <f t="shared" si="0"/>
        <v>11328.42</v>
      </c>
      <c r="M77" s="9">
        <f t="shared" si="1"/>
        <v>472.01749999999998</v>
      </c>
      <c r="N77" s="29">
        <f t="shared" si="14"/>
        <v>60418.240000000005</v>
      </c>
      <c r="O77" s="30" t="s">
        <v>377</v>
      </c>
      <c r="P77" s="22" t="s">
        <v>82</v>
      </c>
      <c r="Q77" s="23">
        <v>46083</v>
      </c>
      <c r="R77" s="32">
        <v>46114</v>
      </c>
      <c r="S77" s="60"/>
    </row>
    <row r="78" spans="1:19" ht="14.4" x14ac:dyDescent="0.3">
      <c r="A78" s="22" t="s">
        <v>270</v>
      </c>
      <c r="B78" s="22"/>
      <c r="C78" s="8">
        <v>3</v>
      </c>
      <c r="D78" s="8">
        <v>2</v>
      </c>
      <c r="E78" s="8" t="s">
        <v>15</v>
      </c>
      <c r="F78" s="8">
        <v>2</v>
      </c>
      <c r="G78" s="8">
        <v>1</v>
      </c>
      <c r="H78" s="16" t="s">
        <v>97</v>
      </c>
      <c r="I78" s="9">
        <v>79101.600000000006</v>
      </c>
      <c r="J78" s="9">
        <v>500</v>
      </c>
      <c r="K78" s="9">
        <v>3455.0800000000004</v>
      </c>
      <c r="L78" s="28">
        <f t="shared" si="0"/>
        <v>11865.24</v>
      </c>
      <c r="M78" s="9">
        <f t="shared" si="1"/>
        <v>494.38499999999999</v>
      </c>
      <c r="N78" s="29">
        <f t="shared" si="14"/>
        <v>63281.279999999999</v>
      </c>
      <c r="O78" s="55" t="s">
        <v>20</v>
      </c>
      <c r="P78" s="22" t="s">
        <v>22</v>
      </c>
      <c r="Q78" s="23">
        <v>46083</v>
      </c>
      <c r="R78" s="42">
        <v>46114</v>
      </c>
      <c r="S78" s="60"/>
    </row>
    <row r="79" spans="1:19" ht="14.4" x14ac:dyDescent="0.3">
      <c r="A79" s="22" t="s">
        <v>271</v>
      </c>
      <c r="B79" s="22"/>
      <c r="C79" s="8">
        <v>3</v>
      </c>
      <c r="D79" s="8">
        <v>2</v>
      </c>
      <c r="E79" s="8" t="s">
        <v>15</v>
      </c>
      <c r="F79" s="8">
        <v>2</v>
      </c>
      <c r="G79" s="8">
        <v>1</v>
      </c>
      <c r="H79" s="16" t="s">
        <v>98</v>
      </c>
      <c r="I79" s="9">
        <v>79101.600000000006</v>
      </c>
      <c r="J79" s="9">
        <v>500</v>
      </c>
      <c r="K79" s="9">
        <v>3455.0800000000004</v>
      </c>
      <c r="L79" s="28">
        <f t="shared" si="0"/>
        <v>11865.24</v>
      </c>
      <c r="M79" s="9">
        <f t="shared" si="1"/>
        <v>494.38499999999999</v>
      </c>
      <c r="N79" s="29">
        <f t="shared" si="14"/>
        <v>63281.279999999999</v>
      </c>
      <c r="O79" s="55" t="s">
        <v>20</v>
      </c>
      <c r="P79" s="22" t="s">
        <v>22</v>
      </c>
      <c r="Q79" s="23">
        <v>46083</v>
      </c>
      <c r="R79" s="42">
        <v>46114</v>
      </c>
      <c r="S79" s="60"/>
    </row>
    <row r="80" spans="1:19" ht="14.4" x14ac:dyDescent="0.3">
      <c r="A80" s="22" t="s">
        <v>272</v>
      </c>
      <c r="B80" s="22"/>
      <c r="C80" s="8">
        <v>3</v>
      </c>
      <c r="D80" s="8">
        <v>2</v>
      </c>
      <c r="E80" s="8" t="s">
        <v>15</v>
      </c>
      <c r="F80" s="8">
        <v>3</v>
      </c>
      <c r="G80" s="8">
        <v>1</v>
      </c>
      <c r="H80" s="16" t="s">
        <v>99</v>
      </c>
      <c r="I80" s="9">
        <v>71418.3</v>
      </c>
      <c r="J80" s="9">
        <v>500</v>
      </c>
      <c r="K80" s="9">
        <v>3070.9150000000004</v>
      </c>
      <c r="L80" s="28">
        <f t="shared" si="0"/>
        <v>10712.745000000001</v>
      </c>
      <c r="M80" s="9">
        <f t="shared" si="1"/>
        <v>446.36437500000005</v>
      </c>
      <c r="N80" s="29">
        <f t="shared" si="14"/>
        <v>57134.64</v>
      </c>
      <c r="O80" s="30" t="s">
        <v>377</v>
      </c>
      <c r="P80" s="22" t="s">
        <v>19</v>
      </c>
      <c r="Q80" s="23">
        <v>46080</v>
      </c>
      <c r="R80" s="32">
        <v>46108</v>
      </c>
      <c r="S80" s="60"/>
    </row>
    <row r="81" spans="1:19" ht="14.4" x14ac:dyDescent="0.3">
      <c r="A81" s="22" t="s">
        <v>273</v>
      </c>
      <c r="B81" s="22"/>
      <c r="C81" s="8">
        <v>3</v>
      </c>
      <c r="D81" s="8">
        <v>2</v>
      </c>
      <c r="E81" s="8" t="s">
        <v>15</v>
      </c>
      <c r="F81" s="8">
        <v>3</v>
      </c>
      <c r="G81" s="8">
        <v>1</v>
      </c>
      <c r="H81" s="16" t="s">
        <v>100</v>
      </c>
      <c r="I81" s="9">
        <v>71418.3</v>
      </c>
      <c r="J81" s="9">
        <v>500</v>
      </c>
      <c r="K81" s="9">
        <v>3070.9150000000004</v>
      </c>
      <c r="L81" s="28">
        <f t="shared" si="0"/>
        <v>10712.745000000001</v>
      </c>
      <c r="M81" s="9">
        <f t="shared" si="1"/>
        <v>446.36437500000005</v>
      </c>
      <c r="N81" s="29">
        <f t="shared" si="14"/>
        <v>57134.64</v>
      </c>
      <c r="O81" s="55" t="s">
        <v>20</v>
      </c>
      <c r="P81" s="22" t="s">
        <v>22</v>
      </c>
      <c r="Q81" s="23">
        <v>46090</v>
      </c>
      <c r="R81" s="42">
        <v>46121</v>
      </c>
      <c r="S81" s="60"/>
    </row>
    <row r="82" spans="1:19" ht="14.4" x14ac:dyDescent="0.3">
      <c r="A82" s="22" t="s">
        <v>274</v>
      </c>
      <c r="B82" s="22"/>
      <c r="C82" s="8">
        <v>3</v>
      </c>
      <c r="D82" s="8">
        <v>2</v>
      </c>
      <c r="E82" s="8" t="s">
        <v>15</v>
      </c>
      <c r="F82" s="8">
        <v>3</v>
      </c>
      <c r="G82" s="8">
        <v>1</v>
      </c>
      <c r="H82" s="16" t="s">
        <v>101</v>
      </c>
      <c r="I82" s="9">
        <v>74802.600000000006</v>
      </c>
      <c r="J82" s="9">
        <v>500</v>
      </c>
      <c r="K82" s="9">
        <v>3240.1300000000006</v>
      </c>
      <c r="L82" s="28">
        <f t="shared" si="0"/>
        <v>11220.390000000001</v>
      </c>
      <c r="M82" s="9">
        <f t="shared" si="1"/>
        <v>467.51625000000007</v>
      </c>
      <c r="N82" s="29">
        <f t="shared" si="14"/>
        <v>59842.080000000009</v>
      </c>
      <c r="O82" s="30" t="s">
        <v>18</v>
      </c>
      <c r="P82" s="22" t="s">
        <v>34</v>
      </c>
      <c r="Q82" s="23">
        <v>46091</v>
      </c>
      <c r="R82" s="37">
        <v>46122</v>
      </c>
      <c r="S82" s="18" t="s">
        <v>93</v>
      </c>
    </row>
    <row r="83" spans="1:19" ht="14.4" x14ac:dyDescent="0.3">
      <c r="A83" s="22" t="s">
        <v>275</v>
      </c>
      <c r="B83" s="22"/>
      <c r="C83" s="8">
        <v>3</v>
      </c>
      <c r="D83" s="8">
        <v>2</v>
      </c>
      <c r="E83" s="8" t="s">
        <v>15</v>
      </c>
      <c r="F83" s="8">
        <v>3</v>
      </c>
      <c r="G83" s="8">
        <v>1</v>
      </c>
      <c r="H83" s="16" t="s">
        <v>102</v>
      </c>
      <c r="I83" s="9">
        <v>74802.600000000006</v>
      </c>
      <c r="J83" s="9">
        <v>500</v>
      </c>
      <c r="K83" s="9">
        <v>3240.1300000000006</v>
      </c>
      <c r="L83" s="28">
        <f t="shared" si="0"/>
        <v>11220.390000000001</v>
      </c>
      <c r="M83" s="9">
        <f t="shared" si="1"/>
        <v>467.51625000000007</v>
      </c>
      <c r="N83" s="29">
        <f t="shared" si="14"/>
        <v>59842.080000000009</v>
      </c>
      <c r="O83" s="30" t="s">
        <v>377</v>
      </c>
      <c r="P83" s="22" t="s">
        <v>22</v>
      </c>
      <c r="Q83" s="23">
        <v>46084</v>
      </c>
      <c r="R83" s="32">
        <v>46115</v>
      </c>
      <c r="S83" s="60"/>
    </row>
    <row r="84" spans="1:19" ht="14.4" x14ac:dyDescent="0.3">
      <c r="A84" s="22" t="s">
        <v>276</v>
      </c>
      <c r="B84" s="8" t="s">
        <v>190</v>
      </c>
      <c r="C84" s="8">
        <v>3</v>
      </c>
      <c r="D84" s="8">
        <v>2</v>
      </c>
      <c r="E84" s="8" t="s">
        <v>15</v>
      </c>
      <c r="F84" s="8">
        <v>4</v>
      </c>
      <c r="G84" s="8">
        <v>1</v>
      </c>
      <c r="H84" s="16" t="s">
        <v>103</v>
      </c>
      <c r="I84" s="9">
        <v>81679.55</v>
      </c>
      <c r="J84" s="9">
        <v>500</v>
      </c>
      <c r="K84" s="9">
        <v>3583.9775000000004</v>
      </c>
      <c r="L84" s="28">
        <f t="shared" si="0"/>
        <v>12251.932500000001</v>
      </c>
      <c r="M84" s="9">
        <f t="shared" si="1"/>
        <v>510.49718750000005</v>
      </c>
      <c r="N84" s="29">
        <f t="shared" si="14"/>
        <v>65343.640000000007</v>
      </c>
      <c r="O84" s="30" t="s">
        <v>377</v>
      </c>
      <c r="P84" s="22" t="s">
        <v>19</v>
      </c>
      <c r="Q84" s="23">
        <v>46097</v>
      </c>
      <c r="R84" s="32">
        <v>46128</v>
      </c>
      <c r="S84" s="60"/>
    </row>
    <row r="85" spans="1:19" ht="14.4" x14ac:dyDescent="0.3">
      <c r="A85" s="22" t="s">
        <v>277</v>
      </c>
      <c r="B85" s="8" t="s">
        <v>190</v>
      </c>
      <c r="C85" s="8">
        <v>3</v>
      </c>
      <c r="D85" s="8">
        <v>2</v>
      </c>
      <c r="E85" s="8" t="s">
        <v>15</v>
      </c>
      <c r="F85" s="8">
        <v>4</v>
      </c>
      <c r="G85" s="8">
        <v>1</v>
      </c>
      <c r="H85" s="16" t="s">
        <v>104</v>
      </c>
      <c r="I85" s="9">
        <v>81679.55</v>
      </c>
      <c r="J85" s="9">
        <v>500</v>
      </c>
      <c r="K85" s="9">
        <v>3583.9775000000004</v>
      </c>
      <c r="L85" s="28">
        <f t="shared" si="0"/>
        <v>12251.932500000001</v>
      </c>
      <c r="M85" s="9">
        <f t="shared" si="1"/>
        <v>510.49718750000005</v>
      </c>
      <c r="N85" s="29">
        <f t="shared" si="14"/>
        <v>65343.640000000007</v>
      </c>
      <c r="O85" s="55" t="s">
        <v>20</v>
      </c>
      <c r="P85" s="22" t="s">
        <v>22</v>
      </c>
      <c r="Q85" s="23">
        <v>46078</v>
      </c>
      <c r="R85" s="42">
        <v>46106</v>
      </c>
      <c r="S85" s="60"/>
    </row>
    <row r="86" spans="1:19" ht="14.4" x14ac:dyDescent="0.3">
      <c r="A86" s="22" t="s">
        <v>278</v>
      </c>
      <c r="B86" s="8" t="s">
        <v>191</v>
      </c>
      <c r="C86" s="8">
        <v>3</v>
      </c>
      <c r="D86" s="8">
        <v>2</v>
      </c>
      <c r="E86" s="8" t="s">
        <v>15</v>
      </c>
      <c r="F86" s="8">
        <v>4</v>
      </c>
      <c r="G86" s="8">
        <v>1</v>
      </c>
      <c r="H86" s="16" t="s">
        <v>105</v>
      </c>
      <c r="I86" s="9">
        <v>85550.1</v>
      </c>
      <c r="J86" s="9">
        <v>500</v>
      </c>
      <c r="K86" s="9">
        <v>3777.5050000000001</v>
      </c>
      <c r="L86" s="28">
        <f t="shared" si="0"/>
        <v>12832.515000000001</v>
      </c>
      <c r="M86" s="9">
        <f t="shared" si="1"/>
        <v>534.68812500000001</v>
      </c>
      <c r="N86" s="29">
        <f t="shared" si="14"/>
        <v>68440.08</v>
      </c>
      <c r="O86" s="30" t="s">
        <v>18</v>
      </c>
      <c r="P86" s="22" t="s">
        <v>378</v>
      </c>
      <c r="Q86" s="23">
        <v>46127</v>
      </c>
      <c r="R86" s="43">
        <v>46157</v>
      </c>
      <c r="S86" s="18" t="s">
        <v>106</v>
      </c>
    </row>
    <row r="87" spans="1:19" ht="14.4" x14ac:dyDescent="0.3">
      <c r="A87" s="22" t="s">
        <v>279</v>
      </c>
      <c r="B87" s="8" t="s">
        <v>191</v>
      </c>
      <c r="C87" s="8">
        <v>3</v>
      </c>
      <c r="D87" s="8">
        <v>2</v>
      </c>
      <c r="E87" s="8" t="s">
        <v>15</v>
      </c>
      <c r="F87" s="8">
        <v>4</v>
      </c>
      <c r="G87" s="8">
        <v>1</v>
      </c>
      <c r="H87" s="16" t="s">
        <v>107</v>
      </c>
      <c r="I87" s="9">
        <v>85550.1</v>
      </c>
      <c r="J87" s="9">
        <v>500</v>
      </c>
      <c r="K87" s="9">
        <v>3777.5050000000001</v>
      </c>
      <c r="L87" s="28">
        <f t="shared" si="0"/>
        <v>12832.515000000001</v>
      </c>
      <c r="M87" s="9">
        <f t="shared" si="1"/>
        <v>534.68812500000001</v>
      </c>
      <c r="N87" s="29">
        <f t="shared" si="14"/>
        <v>68440.08</v>
      </c>
      <c r="O87" s="30" t="s">
        <v>377</v>
      </c>
      <c r="P87" s="22" t="s">
        <v>378</v>
      </c>
      <c r="Q87" s="23">
        <v>46132</v>
      </c>
      <c r="R87" s="46">
        <v>46162</v>
      </c>
      <c r="S87" s="18" t="s">
        <v>106</v>
      </c>
    </row>
    <row r="88" spans="1:19" ht="14.4" x14ac:dyDescent="0.3">
      <c r="A88" s="22" t="s">
        <v>280</v>
      </c>
      <c r="B88" s="22"/>
      <c r="C88" s="8">
        <v>3</v>
      </c>
      <c r="D88" s="8">
        <v>2</v>
      </c>
      <c r="E88" s="17" t="s">
        <v>15</v>
      </c>
      <c r="F88" s="17">
        <v>1</v>
      </c>
      <c r="G88" s="17">
        <v>1</v>
      </c>
      <c r="H88" s="21" t="s">
        <v>108</v>
      </c>
      <c r="I88" s="19">
        <v>75933.25</v>
      </c>
      <c r="J88" s="19">
        <v>500</v>
      </c>
      <c r="K88" s="19">
        <v>3296.6625000000004</v>
      </c>
      <c r="L88" s="20">
        <f t="shared" ref="L88:L103" si="15">+I88*15%</f>
        <v>11389.987499999999</v>
      </c>
      <c r="M88" s="19">
        <f t="shared" ref="M88:M103" si="16">+L88/24</f>
        <v>474.58281249999999</v>
      </c>
      <c r="N88" s="24">
        <f t="shared" ref="N88:N103" si="17">+I88-J88-K88-L88</f>
        <v>60746.599999999991</v>
      </c>
      <c r="O88" s="30" t="s">
        <v>377</v>
      </c>
      <c r="P88" s="22" t="s">
        <v>22</v>
      </c>
      <c r="Q88" s="23">
        <v>46119</v>
      </c>
      <c r="R88" s="32">
        <v>46149</v>
      </c>
      <c r="S88" s="60"/>
    </row>
    <row r="89" spans="1:19" ht="15" customHeight="1" x14ac:dyDescent="0.3">
      <c r="A89" s="22" t="s">
        <v>281</v>
      </c>
      <c r="B89" s="22"/>
      <c r="C89" s="8">
        <v>3</v>
      </c>
      <c r="D89" s="8">
        <v>2</v>
      </c>
      <c r="E89" s="17" t="s">
        <v>15</v>
      </c>
      <c r="F89" s="17">
        <v>1</v>
      </c>
      <c r="G89" s="17">
        <v>1</v>
      </c>
      <c r="H89" s="21" t="s">
        <v>109</v>
      </c>
      <c r="I89" s="19">
        <v>75933.25</v>
      </c>
      <c r="J89" s="19">
        <v>500</v>
      </c>
      <c r="K89" s="19">
        <v>3296.6625000000004</v>
      </c>
      <c r="L89" s="20">
        <f t="shared" si="15"/>
        <v>11389.987499999999</v>
      </c>
      <c r="M89" s="19">
        <f t="shared" si="16"/>
        <v>474.58281249999999</v>
      </c>
      <c r="N89" s="24">
        <f t="shared" si="17"/>
        <v>60746.599999999991</v>
      </c>
      <c r="O89" s="45" t="s">
        <v>18</v>
      </c>
      <c r="P89" s="22" t="s">
        <v>19</v>
      </c>
      <c r="Q89" s="23">
        <v>46112</v>
      </c>
      <c r="R89" s="49">
        <v>46142</v>
      </c>
      <c r="S89" s="18" t="s">
        <v>110</v>
      </c>
    </row>
    <row r="90" spans="1:19" ht="15" customHeight="1" x14ac:dyDescent="0.3">
      <c r="A90" s="22" t="s">
        <v>282</v>
      </c>
      <c r="B90" s="22"/>
      <c r="C90" s="8">
        <v>3</v>
      </c>
      <c r="D90" s="8">
        <v>2</v>
      </c>
      <c r="E90" s="17" t="s">
        <v>15</v>
      </c>
      <c r="F90" s="17">
        <v>1</v>
      </c>
      <c r="G90" s="17">
        <v>1</v>
      </c>
      <c r="H90" s="21" t="s">
        <v>111</v>
      </c>
      <c r="I90" s="19">
        <v>79531.5</v>
      </c>
      <c r="J90" s="19">
        <v>500</v>
      </c>
      <c r="K90" s="19">
        <v>3476.5750000000003</v>
      </c>
      <c r="L90" s="20">
        <f t="shared" si="15"/>
        <v>11929.725</v>
      </c>
      <c r="M90" s="19">
        <f t="shared" si="16"/>
        <v>497.07187500000003</v>
      </c>
      <c r="N90" s="24">
        <f t="shared" si="17"/>
        <v>63625.200000000004</v>
      </c>
      <c r="O90" s="30" t="s">
        <v>377</v>
      </c>
      <c r="P90" s="22" t="s">
        <v>34</v>
      </c>
      <c r="Q90" s="23">
        <v>46094</v>
      </c>
      <c r="R90" s="32">
        <v>46125</v>
      </c>
      <c r="S90" s="60"/>
    </row>
    <row r="91" spans="1:19" ht="15" customHeight="1" x14ac:dyDescent="0.3">
      <c r="A91" s="22" t="s">
        <v>283</v>
      </c>
      <c r="B91" s="22"/>
      <c r="C91" s="8">
        <v>3</v>
      </c>
      <c r="D91" s="8">
        <v>2</v>
      </c>
      <c r="E91" s="17" t="s">
        <v>15</v>
      </c>
      <c r="F91" s="17">
        <v>1</v>
      </c>
      <c r="G91" s="17">
        <v>1</v>
      </c>
      <c r="H91" s="21" t="s">
        <v>112</v>
      </c>
      <c r="I91" s="19">
        <v>79531.5</v>
      </c>
      <c r="J91" s="19">
        <v>500</v>
      </c>
      <c r="K91" s="19">
        <v>3476.5750000000003</v>
      </c>
      <c r="L91" s="20">
        <f t="shared" si="15"/>
        <v>11929.725</v>
      </c>
      <c r="M91" s="19">
        <f t="shared" si="16"/>
        <v>497.07187500000003</v>
      </c>
      <c r="N91" s="24">
        <f t="shared" si="17"/>
        <v>63625.200000000004</v>
      </c>
      <c r="O91" s="50" t="s">
        <v>18</v>
      </c>
      <c r="P91" s="22" t="s">
        <v>22</v>
      </c>
      <c r="Q91" s="23">
        <v>46140</v>
      </c>
      <c r="R91" s="23">
        <v>46170</v>
      </c>
      <c r="S91" s="18" t="s">
        <v>113</v>
      </c>
    </row>
    <row r="92" spans="1:19" ht="15" customHeight="1" x14ac:dyDescent="0.3">
      <c r="A92" s="22" t="s">
        <v>284</v>
      </c>
      <c r="B92" s="22"/>
      <c r="C92" s="8">
        <v>3</v>
      </c>
      <c r="D92" s="8">
        <v>2</v>
      </c>
      <c r="E92" s="17" t="s">
        <v>15</v>
      </c>
      <c r="F92" s="17">
        <f t="shared" ref="F92:F103" si="18">F88+1</f>
        <v>2</v>
      </c>
      <c r="G92" s="17">
        <v>1</v>
      </c>
      <c r="H92" s="21" t="s">
        <v>114</v>
      </c>
      <c r="I92" s="19">
        <v>75522.8</v>
      </c>
      <c r="J92" s="19">
        <v>500</v>
      </c>
      <c r="K92" s="19">
        <v>3276.1400000000003</v>
      </c>
      <c r="L92" s="20">
        <f t="shared" si="15"/>
        <v>11328.42</v>
      </c>
      <c r="M92" s="19">
        <f t="shared" si="16"/>
        <v>472.01749999999998</v>
      </c>
      <c r="N92" s="24">
        <f t="shared" si="17"/>
        <v>60418.240000000005</v>
      </c>
      <c r="O92" s="45" t="s">
        <v>18</v>
      </c>
      <c r="P92" s="22" t="s">
        <v>32</v>
      </c>
      <c r="Q92" s="23">
        <v>46126</v>
      </c>
      <c r="R92" s="23">
        <v>46156</v>
      </c>
      <c r="S92" s="18" t="s">
        <v>115</v>
      </c>
    </row>
    <row r="93" spans="1:19" ht="15" customHeight="1" x14ac:dyDescent="0.3">
      <c r="A93" s="22" t="s">
        <v>285</v>
      </c>
      <c r="B93" s="22"/>
      <c r="C93" s="8">
        <v>3</v>
      </c>
      <c r="D93" s="8">
        <v>2</v>
      </c>
      <c r="E93" s="17" t="s">
        <v>15</v>
      </c>
      <c r="F93" s="17">
        <f t="shared" si="18"/>
        <v>2</v>
      </c>
      <c r="G93" s="17">
        <v>1</v>
      </c>
      <c r="H93" s="21" t="s">
        <v>116</v>
      </c>
      <c r="I93" s="19">
        <v>75522.8</v>
      </c>
      <c r="J93" s="19">
        <v>500</v>
      </c>
      <c r="K93" s="19">
        <v>3276.1400000000003</v>
      </c>
      <c r="L93" s="20">
        <f t="shared" si="15"/>
        <v>11328.42</v>
      </c>
      <c r="M93" s="19">
        <f t="shared" si="16"/>
        <v>472.01749999999998</v>
      </c>
      <c r="N93" s="24">
        <f t="shared" si="17"/>
        <v>60418.240000000005</v>
      </c>
      <c r="O93" s="45" t="s">
        <v>18</v>
      </c>
      <c r="P93" s="22" t="s">
        <v>44</v>
      </c>
      <c r="Q93" s="23">
        <v>46098</v>
      </c>
      <c r="R93" s="49">
        <v>46129</v>
      </c>
      <c r="S93" s="60" t="s">
        <v>117</v>
      </c>
    </row>
    <row r="94" spans="1:19" ht="15" customHeight="1" x14ac:dyDescent="0.3">
      <c r="A94" s="22" t="s">
        <v>286</v>
      </c>
      <c r="B94" s="22"/>
      <c r="C94" s="8">
        <v>3</v>
      </c>
      <c r="D94" s="8">
        <v>2</v>
      </c>
      <c r="E94" s="17" t="s">
        <v>15</v>
      </c>
      <c r="F94" s="17">
        <f t="shared" si="18"/>
        <v>2</v>
      </c>
      <c r="G94" s="17">
        <v>1</v>
      </c>
      <c r="H94" s="21" t="s">
        <v>118</v>
      </c>
      <c r="I94" s="19">
        <v>79101.600000000006</v>
      </c>
      <c r="J94" s="19">
        <v>500</v>
      </c>
      <c r="K94" s="19">
        <v>3455.0800000000004</v>
      </c>
      <c r="L94" s="20">
        <f t="shared" si="15"/>
        <v>11865.24</v>
      </c>
      <c r="M94" s="19">
        <f t="shared" si="16"/>
        <v>494.38499999999999</v>
      </c>
      <c r="N94" s="24">
        <f t="shared" si="17"/>
        <v>63281.280000000006</v>
      </c>
      <c r="O94" s="30" t="s">
        <v>377</v>
      </c>
      <c r="P94" s="22" t="s">
        <v>378</v>
      </c>
      <c r="Q94" s="23">
        <v>46111</v>
      </c>
      <c r="R94" s="32">
        <v>46142</v>
      </c>
      <c r="S94" s="18" t="s">
        <v>57</v>
      </c>
    </row>
    <row r="95" spans="1:19" ht="15" customHeight="1" x14ac:dyDescent="0.3">
      <c r="A95" s="22" t="s">
        <v>287</v>
      </c>
      <c r="B95" s="22"/>
      <c r="C95" s="8">
        <v>3</v>
      </c>
      <c r="D95" s="8">
        <v>2</v>
      </c>
      <c r="E95" s="17" t="s">
        <v>15</v>
      </c>
      <c r="F95" s="17">
        <f t="shared" si="18"/>
        <v>2</v>
      </c>
      <c r="G95" s="17">
        <v>1</v>
      </c>
      <c r="H95" s="21" t="s">
        <v>119</v>
      </c>
      <c r="I95" s="19">
        <v>79101.600000000006</v>
      </c>
      <c r="J95" s="19">
        <v>500</v>
      </c>
      <c r="K95" s="19">
        <v>3455.0800000000004</v>
      </c>
      <c r="L95" s="20">
        <f t="shared" si="15"/>
        <v>11865.24</v>
      </c>
      <c r="M95" s="19">
        <f t="shared" si="16"/>
        <v>494.38499999999999</v>
      </c>
      <c r="N95" s="24">
        <f t="shared" si="17"/>
        <v>63281.280000000006</v>
      </c>
      <c r="O95" s="45" t="s">
        <v>18</v>
      </c>
      <c r="P95" s="22" t="s">
        <v>22</v>
      </c>
      <c r="Q95" s="23">
        <v>46111</v>
      </c>
      <c r="R95" s="49">
        <v>46142</v>
      </c>
      <c r="S95" s="18" t="s">
        <v>74</v>
      </c>
    </row>
    <row r="96" spans="1:19" ht="15" customHeight="1" x14ac:dyDescent="0.3">
      <c r="A96" s="22" t="s">
        <v>288</v>
      </c>
      <c r="B96" s="22"/>
      <c r="C96" s="8">
        <v>3</v>
      </c>
      <c r="D96" s="8">
        <v>2</v>
      </c>
      <c r="E96" s="17" t="s">
        <v>15</v>
      </c>
      <c r="F96" s="17">
        <f t="shared" si="18"/>
        <v>3</v>
      </c>
      <c r="G96" s="17">
        <v>1</v>
      </c>
      <c r="H96" s="21" t="s">
        <v>120</v>
      </c>
      <c r="I96" s="19">
        <v>71418.3</v>
      </c>
      <c r="J96" s="19">
        <v>500</v>
      </c>
      <c r="K96" s="19">
        <v>3070.9150000000004</v>
      </c>
      <c r="L96" s="20">
        <f t="shared" si="15"/>
        <v>10712.745000000001</v>
      </c>
      <c r="M96" s="19">
        <f t="shared" si="16"/>
        <v>446.36437500000005</v>
      </c>
      <c r="N96" s="24">
        <f t="shared" si="17"/>
        <v>57134.640000000007</v>
      </c>
      <c r="O96" s="45" t="s">
        <v>18</v>
      </c>
      <c r="P96" s="34" t="s">
        <v>22</v>
      </c>
      <c r="Q96" s="23">
        <v>46127</v>
      </c>
      <c r="R96" s="43">
        <v>46157</v>
      </c>
      <c r="S96" s="18" t="s">
        <v>121</v>
      </c>
    </row>
    <row r="97" spans="1:19" ht="15" customHeight="1" x14ac:dyDescent="0.3">
      <c r="A97" s="22" t="s">
        <v>289</v>
      </c>
      <c r="B97" s="22"/>
      <c r="C97" s="8">
        <v>3</v>
      </c>
      <c r="D97" s="8">
        <v>2</v>
      </c>
      <c r="E97" s="17" t="s">
        <v>15</v>
      </c>
      <c r="F97" s="17">
        <f t="shared" si="18"/>
        <v>3</v>
      </c>
      <c r="G97" s="17">
        <v>1</v>
      </c>
      <c r="H97" s="21" t="s">
        <v>122</v>
      </c>
      <c r="I97" s="19">
        <v>71418.3</v>
      </c>
      <c r="J97" s="19">
        <v>500</v>
      </c>
      <c r="K97" s="19">
        <v>3070.9150000000004</v>
      </c>
      <c r="L97" s="20">
        <f t="shared" si="15"/>
        <v>10712.745000000001</v>
      </c>
      <c r="M97" s="19">
        <f t="shared" si="16"/>
        <v>446.36437500000005</v>
      </c>
      <c r="N97" s="24">
        <f t="shared" si="17"/>
        <v>57134.640000000007</v>
      </c>
      <c r="O97" s="30" t="s">
        <v>377</v>
      </c>
      <c r="P97" s="22" t="s">
        <v>44</v>
      </c>
      <c r="Q97" s="23">
        <v>46106</v>
      </c>
      <c r="R97" s="32">
        <v>46137</v>
      </c>
      <c r="S97" s="60"/>
    </row>
    <row r="98" spans="1:19" ht="15" customHeight="1" x14ac:dyDescent="0.3">
      <c r="A98" s="22" t="s">
        <v>290</v>
      </c>
      <c r="B98" s="22"/>
      <c r="C98" s="8">
        <v>3</v>
      </c>
      <c r="D98" s="8">
        <v>2</v>
      </c>
      <c r="E98" s="17" t="s">
        <v>15</v>
      </c>
      <c r="F98" s="17">
        <f t="shared" si="18"/>
        <v>3</v>
      </c>
      <c r="G98" s="17">
        <v>1</v>
      </c>
      <c r="H98" s="21" t="s">
        <v>123</v>
      </c>
      <c r="I98" s="19">
        <v>74802.600000000006</v>
      </c>
      <c r="J98" s="19">
        <v>500</v>
      </c>
      <c r="K98" s="19">
        <v>3240.1300000000006</v>
      </c>
      <c r="L98" s="20">
        <f t="shared" si="15"/>
        <v>11220.390000000001</v>
      </c>
      <c r="M98" s="19">
        <f t="shared" si="16"/>
        <v>467.51625000000007</v>
      </c>
      <c r="N98" s="24">
        <f t="shared" si="17"/>
        <v>59842.080000000002</v>
      </c>
      <c r="O98" s="45" t="s">
        <v>18</v>
      </c>
      <c r="P98" s="22" t="s">
        <v>34</v>
      </c>
      <c r="Q98" s="23">
        <v>46121</v>
      </c>
      <c r="R98" s="43">
        <v>46151</v>
      </c>
      <c r="S98" s="18" t="s">
        <v>124</v>
      </c>
    </row>
    <row r="99" spans="1:19" ht="15" customHeight="1" x14ac:dyDescent="0.3">
      <c r="A99" s="22" t="s">
        <v>291</v>
      </c>
      <c r="B99" s="22"/>
      <c r="C99" s="8">
        <v>3</v>
      </c>
      <c r="D99" s="8">
        <v>2</v>
      </c>
      <c r="E99" s="17" t="s">
        <v>15</v>
      </c>
      <c r="F99" s="17">
        <f t="shared" si="18"/>
        <v>3</v>
      </c>
      <c r="G99" s="17">
        <v>1</v>
      </c>
      <c r="H99" s="21" t="s">
        <v>125</v>
      </c>
      <c r="I99" s="19">
        <v>74802.600000000006</v>
      </c>
      <c r="J99" s="19">
        <v>500</v>
      </c>
      <c r="K99" s="19">
        <v>3240.1300000000006</v>
      </c>
      <c r="L99" s="20">
        <f t="shared" si="15"/>
        <v>11220.390000000001</v>
      </c>
      <c r="M99" s="19">
        <f t="shared" si="16"/>
        <v>467.51625000000007</v>
      </c>
      <c r="N99" s="24">
        <f t="shared" si="17"/>
        <v>59842.080000000002</v>
      </c>
      <c r="O99" s="45" t="s">
        <v>18</v>
      </c>
      <c r="P99" s="34" t="s">
        <v>32</v>
      </c>
      <c r="Q99" s="23">
        <v>46119</v>
      </c>
      <c r="R99" s="43">
        <v>46149</v>
      </c>
      <c r="S99" s="18" t="s">
        <v>126</v>
      </c>
    </row>
    <row r="100" spans="1:19" ht="15" customHeight="1" x14ac:dyDescent="0.3">
      <c r="A100" s="22" t="s">
        <v>292</v>
      </c>
      <c r="B100" s="22" t="s">
        <v>190</v>
      </c>
      <c r="C100" s="8">
        <v>3</v>
      </c>
      <c r="D100" s="8">
        <v>2</v>
      </c>
      <c r="E100" s="17" t="s">
        <v>15</v>
      </c>
      <c r="F100" s="17">
        <f t="shared" si="18"/>
        <v>4</v>
      </c>
      <c r="G100" s="17">
        <v>1</v>
      </c>
      <c r="H100" s="21" t="s">
        <v>127</v>
      </c>
      <c r="I100" s="19">
        <v>81679.55</v>
      </c>
      <c r="J100" s="19">
        <v>500</v>
      </c>
      <c r="K100" s="19">
        <v>3583.9775000000004</v>
      </c>
      <c r="L100" s="20">
        <f t="shared" si="15"/>
        <v>12251.932500000001</v>
      </c>
      <c r="M100" s="19">
        <f t="shared" si="16"/>
        <v>510.49718750000005</v>
      </c>
      <c r="N100" s="24">
        <f t="shared" si="17"/>
        <v>65343.640000000007</v>
      </c>
      <c r="O100" s="45" t="s">
        <v>18</v>
      </c>
      <c r="P100" s="22" t="s">
        <v>22</v>
      </c>
      <c r="Q100" s="35">
        <v>46113</v>
      </c>
      <c r="R100" s="23">
        <v>46143</v>
      </c>
      <c r="S100" s="18" t="s">
        <v>128</v>
      </c>
    </row>
    <row r="101" spans="1:19" ht="15" customHeight="1" x14ac:dyDescent="0.3">
      <c r="A101" s="22" t="s">
        <v>293</v>
      </c>
      <c r="B101" s="22" t="s">
        <v>190</v>
      </c>
      <c r="C101" s="8">
        <v>3</v>
      </c>
      <c r="D101" s="8">
        <v>2</v>
      </c>
      <c r="E101" s="17" t="s">
        <v>15</v>
      </c>
      <c r="F101" s="17">
        <f t="shared" si="18"/>
        <v>4</v>
      </c>
      <c r="G101" s="17">
        <v>1</v>
      </c>
      <c r="H101" s="21" t="s">
        <v>129</v>
      </c>
      <c r="I101" s="19">
        <v>81679.55</v>
      </c>
      <c r="J101" s="19">
        <v>500</v>
      </c>
      <c r="K101" s="19">
        <v>3583.9775000000004</v>
      </c>
      <c r="L101" s="20">
        <f t="shared" si="15"/>
        <v>12251.932500000001</v>
      </c>
      <c r="M101" s="19">
        <f t="shared" si="16"/>
        <v>510.49718750000005</v>
      </c>
      <c r="N101" s="24">
        <f t="shared" si="17"/>
        <v>65343.640000000007</v>
      </c>
      <c r="O101" s="45" t="s">
        <v>18</v>
      </c>
      <c r="P101" s="22" t="s">
        <v>22</v>
      </c>
      <c r="Q101" s="35">
        <v>46113</v>
      </c>
      <c r="R101" s="23">
        <v>46143</v>
      </c>
      <c r="S101" s="18" t="s">
        <v>128</v>
      </c>
    </row>
    <row r="102" spans="1:19" ht="15" customHeight="1" x14ac:dyDescent="0.3">
      <c r="A102" s="22" t="s">
        <v>294</v>
      </c>
      <c r="B102" s="22" t="s">
        <v>191</v>
      </c>
      <c r="C102" s="8">
        <v>3</v>
      </c>
      <c r="D102" s="8">
        <v>2</v>
      </c>
      <c r="E102" s="17" t="s">
        <v>15</v>
      </c>
      <c r="F102" s="17">
        <f t="shared" si="18"/>
        <v>4</v>
      </c>
      <c r="G102" s="17">
        <v>1</v>
      </c>
      <c r="H102" s="21" t="s">
        <v>130</v>
      </c>
      <c r="I102" s="19">
        <v>85550.1</v>
      </c>
      <c r="J102" s="19">
        <v>500</v>
      </c>
      <c r="K102" s="19">
        <v>3777.5050000000001</v>
      </c>
      <c r="L102" s="20">
        <f t="shared" si="15"/>
        <v>12832.515000000001</v>
      </c>
      <c r="M102" s="19">
        <f t="shared" si="16"/>
        <v>534.68812500000001</v>
      </c>
      <c r="N102" s="24">
        <f t="shared" si="17"/>
        <v>68440.08</v>
      </c>
      <c r="O102" s="30" t="s">
        <v>377</v>
      </c>
      <c r="P102" s="22" t="s">
        <v>22</v>
      </c>
      <c r="Q102" s="23">
        <v>46122</v>
      </c>
      <c r="R102" s="46">
        <v>46152</v>
      </c>
      <c r="S102" s="60"/>
    </row>
    <row r="103" spans="1:19" ht="15" customHeight="1" x14ac:dyDescent="0.3">
      <c r="A103" s="22" t="s">
        <v>295</v>
      </c>
      <c r="B103" s="22" t="s">
        <v>191</v>
      </c>
      <c r="C103" s="8">
        <v>3</v>
      </c>
      <c r="D103" s="8">
        <v>2</v>
      </c>
      <c r="E103" s="17" t="s">
        <v>15</v>
      </c>
      <c r="F103" s="17">
        <f t="shared" si="18"/>
        <v>4</v>
      </c>
      <c r="G103" s="17">
        <v>1</v>
      </c>
      <c r="H103" s="26" t="s">
        <v>131</v>
      </c>
      <c r="I103" s="19">
        <v>85550.1</v>
      </c>
      <c r="J103" s="19">
        <v>500</v>
      </c>
      <c r="K103" s="19">
        <v>3777.5050000000001</v>
      </c>
      <c r="L103" s="20">
        <f t="shared" si="15"/>
        <v>12832.515000000001</v>
      </c>
      <c r="M103" s="19">
        <f t="shared" si="16"/>
        <v>534.68812500000001</v>
      </c>
      <c r="N103" s="24">
        <f t="shared" si="17"/>
        <v>68440.08</v>
      </c>
      <c r="O103" s="45" t="s">
        <v>18</v>
      </c>
      <c r="P103" s="22" t="s">
        <v>132</v>
      </c>
      <c r="Q103" s="23">
        <v>46133</v>
      </c>
      <c r="R103" s="23">
        <v>46163</v>
      </c>
      <c r="S103" s="18" t="s">
        <v>133</v>
      </c>
    </row>
    <row r="104" spans="1:19" ht="15" customHeight="1" x14ac:dyDescent="0.3">
      <c r="A104" s="22" t="s">
        <v>296</v>
      </c>
      <c r="B104" s="22"/>
      <c r="C104" s="8">
        <v>3</v>
      </c>
      <c r="D104" s="8">
        <v>2</v>
      </c>
      <c r="E104" s="17" t="s">
        <v>15</v>
      </c>
      <c r="F104" s="17">
        <v>1</v>
      </c>
      <c r="G104" s="17">
        <v>1</v>
      </c>
      <c r="H104" s="21" t="s">
        <v>134</v>
      </c>
      <c r="I104" s="19">
        <v>75933.25</v>
      </c>
      <c r="J104" s="19">
        <v>500</v>
      </c>
      <c r="K104" s="19">
        <v>3296.6625000000004</v>
      </c>
      <c r="L104" s="20">
        <f t="shared" ref="L104:L151" si="19">+I104*15%</f>
        <v>11389.987499999999</v>
      </c>
      <c r="M104" s="19">
        <f t="shared" ref="M104:M151" si="20">+L104/24</f>
        <v>474.58281249999999</v>
      </c>
      <c r="N104" s="25">
        <f t="shared" ref="N104:N151" si="21">+I104-J104-K104-L104</f>
        <v>60746.599999999991</v>
      </c>
      <c r="O104" s="45" t="s">
        <v>18</v>
      </c>
      <c r="P104" s="22" t="s">
        <v>44</v>
      </c>
      <c r="Q104" s="23">
        <v>46104</v>
      </c>
      <c r="R104" s="51">
        <v>46135</v>
      </c>
      <c r="S104" s="18" t="s">
        <v>60</v>
      </c>
    </row>
    <row r="105" spans="1:19" ht="15" customHeight="1" x14ac:dyDescent="0.3">
      <c r="A105" s="22" t="s">
        <v>297</v>
      </c>
      <c r="B105" s="22"/>
      <c r="C105" s="8">
        <v>3</v>
      </c>
      <c r="D105" s="8">
        <v>2</v>
      </c>
      <c r="E105" s="17" t="s">
        <v>15</v>
      </c>
      <c r="F105" s="17">
        <v>1</v>
      </c>
      <c r="G105" s="17">
        <v>1</v>
      </c>
      <c r="H105" s="21" t="s">
        <v>135</v>
      </c>
      <c r="I105" s="19">
        <v>75933.25</v>
      </c>
      <c r="J105" s="19">
        <v>500</v>
      </c>
      <c r="K105" s="19">
        <v>3296.6625000000004</v>
      </c>
      <c r="L105" s="20">
        <f t="shared" si="19"/>
        <v>11389.987499999999</v>
      </c>
      <c r="M105" s="19">
        <f t="shared" si="20"/>
        <v>474.58281249999999</v>
      </c>
      <c r="N105" s="25">
        <f t="shared" si="21"/>
        <v>60746.599999999991</v>
      </c>
      <c r="O105" s="45" t="s">
        <v>18</v>
      </c>
      <c r="P105" s="22" t="s">
        <v>19</v>
      </c>
      <c r="Q105" s="23">
        <v>46102</v>
      </c>
      <c r="R105" s="47">
        <v>46133</v>
      </c>
      <c r="S105" s="18" t="s">
        <v>136</v>
      </c>
    </row>
    <row r="106" spans="1:19" ht="15" customHeight="1" x14ac:dyDescent="0.3">
      <c r="A106" s="22" t="s">
        <v>298</v>
      </c>
      <c r="B106" s="22"/>
      <c r="C106" s="8">
        <v>3</v>
      </c>
      <c r="D106" s="8">
        <v>2</v>
      </c>
      <c r="E106" s="17" t="s">
        <v>15</v>
      </c>
      <c r="F106" s="17">
        <v>1</v>
      </c>
      <c r="G106" s="17">
        <v>1</v>
      </c>
      <c r="H106" s="21" t="s">
        <v>137</v>
      </c>
      <c r="I106" s="19">
        <v>79531.5</v>
      </c>
      <c r="J106" s="19">
        <v>500</v>
      </c>
      <c r="K106" s="19">
        <v>3476.5750000000003</v>
      </c>
      <c r="L106" s="20">
        <f t="shared" si="19"/>
        <v>11929.725</v>
      </c>
      <c r="M106" s="19">
        <f t="shared" si="20"/>
        <v>497.07187500000003</v>
      </c>
      <c r="N106" s="25">
        <f t="shared" si="21"/>
        <v>63625.200000000004</v>
      </c>
      <c r="O106" s="30" t="s">
        <v>377</v>
      </c>
      <c r="P106" s="22" t="s">
        <v>22</v>
      </c>
      <c r="Q106" s="23">
        <v>46119</v>
      </c>
      <c r="R106" s="46">
        <v>46149</v>
      </c>
      <c r="S106" s="60"/>
    </row>
    <row r="107" spans="1:19" ht="15" customHeight="1" x14ac:dyDescent="0.3">
      <c r="A107" s="22" t="s">
        <v>299</v>
      </c>
      <c r="B107" s="22"/>
      <c r="C107" s="8">
        <v>3</v>
      </c>
      <c r="D107" s="8">
        <v>2</v>
      </c>
      <c r="E107" s="17" t="s">
        <v>15</v>
      </c>
      <c r="F107" s="17">
        <v>1</v>
      </c>
      <c r="G107" s="17">
        <v>1</v>
      </c>
      <c r="H107" s="21" t="s">
        <v>112</v>
      </c>
      <c r="I107" s="19">
        <v>79531.5</v>
      </c>
      <c r="J107" s="19">
        <v>500</v>
      </c>
      <c r="K107" s="19">
        <v>3476.5750000000003</v>
      </c>
      <c r="L107" s="20">
        <f t="shared" si="19"/>
        <v>11929.725</v>
      </c>
      <c r="M107" s="19">
        <f t="shared" si="20"/>
        <v>497.07187500000003</v>
      </c>
      <c r="N107" s="25">
        <f t="shared" si="21"/>
        <v>63625.200000000004</v>
      </c>
      <c r="O107" s="45" t="s">
        <v>18</v>
      </c>
      <c r="P107" s="22" t="s">
        <v>22</v>
      </c>
      <c r="Q107" s="23">
        <v>46136</v>
      </c>
      <c r="R107" s="23">
        <v>46166</v>
      </c>
      <c r="S107" s="18" t="s">
        <v>138</v>
      </c>
    </row>
    <row r="108" spans="1:19" ht="15" customHeight="1" x14ac:dyDescent="0.3">
      <c r="A108" s="22" t="s">
        <v>300</v>
      </c>
      <c r="B108" s="22"/>
      <c r="C108" s="8">
        <v>3</v>
      </c>
      <c r="D108" s="8">
        <v>2</v>
      </c>
      <c r="E108" s="17" t="s">
        <v>15</v>
      </c>
      <c r="F108" s="17">
        <f>F105+1</f>
        <v>2</v>
      </c>
      <c r="G108" s="17">
        <v>1</v>
      </c>
      <c r="H108" s="21" t="s">
        <v>139</v>
      </c>
      <c r="I108" s="19">
        <v>75522.8</v>
      </c>
      <c r="J108" s="19">
        <v>500</v>
      </c>
      <c r="K108" s="19">
        <v>3276.1400000000003</v>
      </c>
      <c r="L108" s="20">
        <f t="shared" si="19"/>
        <v>11328.42</v>
      </c>
      <c r="M108" s="19">
        <f t="shared" si="20"/>
        <v>472.01749999999998</v>
      </c>
      <c r="N108" s="25">
        <f t="shared" si="21"/>
        <v>60418.240000000005</v>
      </c>
      <c r="O108" s="45" t="s">
        <v>18</v>
      </c>
      <c r="P108" s="22" t="s">
        <v>22</v>
      </c>
      <c r="Q108" s="23">
        <v>46120</v>
      </c>
      <c r="R108" s="23">
        <v>46150</v>
      </c>
      <c r="S108" s="18" t="s">
        <v>140</v>
      </c>
    </row>
    <row r="109" spans="1:19" ht="15" customHeight="1" x14ac:dyDescent="0.3">
      <c r="A109" s="22" t="s">
        <v>301</v>
      </c>
      <c r="B109" s="22"/>
      <c r="C109" s="8">
        <v>3</v>
      </c>
      <c r="D109" s="8">
        <v>2</v>
      </c>
      <c r="E109" s="17" t="s">
        <v>15</v>
      </c>
      <c r="F109" s="17">
        <f>F104+1</f>
        <v>2</v>
      </c>
      <c r="G109" s="17">
        <v>1</v>
      </c>
      <c r="H109" s="21" t="s">
        <v>141</v>
      </c>
      <c r="I109" s="19">
        <v>75522.8</v>
      </c>
      <c r="J109" s="19">
        <v>500</v>
      </c>
      <c r="K109" s="19">
        <v>3276.1400000000003</v>
      </c>
      <c r="L109" s="20">
        <f>+I109*15%</f>
        <v>11328.42</v>
      </c>
      <c r="M109" s="19">
        <f>+L109/24</f>
        <v>472.01749999999998</v>
      </c>
      <c r="N109" s="25">
        <f>+I109-J109-K109-L109</f>
        <v>60418.240000000005</v>
      </c>
      <c r="O109" s="30" t="s">
        <v>377</v>
      </c>
      <c r="P109" s="22" t="s">
        <v>44</v>
      </c>
      <c r="Q109" s="23">
        <v>46100</v>
      </c>
      <c r="R109" s="46">
        <v>46131</v>
      </c>
      <c r="S109" s="60"/>
    </row>
    <row r="110" spans="1:19" ht="15" customHeight="1" x14ac:dyDescent="0.3">
      <c r="A110" s="22" t="s">
        <v>302</v>
      </c>
      <c r="B110" s="22"/>
      <c r="C110" s="8">
        <v>3</v>
      </c>
      <c r="D110" s="8">
        <v>2</v>
      </c>
      <c r="E110" s="17" t="s">
        <v>15</v>
      </c>
      <c r="F110" s="17">
        <f>F106+1</f>
        <v>2</v>
      </c>
      <c r="G110" s="17">
        <v>1</v>
      </c>
      <c r="H110" s="21" t="s">
        <v>142</v>
      </c>
      <c r="I110" s="19">
        <v>79101.600000000006</v>
      </c>
      <c r="J110" s="19">
        <v>500</v>
      </c>
      <c r="K110" s="19">
        <v>3455.0800000000004</v>
      </c>
      <c r="L110" s="20">
        <f t="shared" si="19"/>
        <v>11865.24</v>
      </c>
      <c r="M110" s="19">
        <f t="shared" si="20"/>
        <v>494.38499999999999</v>
      </c>
      <c r="N110" s="25">
        <f t="shared" si="21"/>
        <v>63281.280000000006</v>
      </c>
      <c r="O110" s="45" t="s">
        <v>18</v>
      </c>
      <c r="P110" s="22" t="s">
        <v>22</v>
      </c>
      <c r="Q110" s="23">
        <v>46112</v>
      </c>
      <c r="R110" s="48">
        <v>46142</v>
      </c>
      <c r="S110" s="18" t="s">
        <v>74</v>
      </c>
    </row>
    <row r="111" spans="1:19" ht="15" customHeight="1" x14ac:dyDescent="0.3">
      <c r="A111" s="22" t="s">
        <v>303</v>
      </c>
      <c r="B111" s="22"/>
      <c r="C111" s="8">
        <v>3</v>
      </c>
      <c r="D111" s="8">
        <v>2</v>
      </c>
      <c r="E111" s="17" t="s">
        <v>15</v>
      </c>
      <c r="F111" s="17">
        <f>F107+1</f>
        <v>2</v>
      </c>
      <c r="G111" s="17">
        <v>1</v>
      </c>
      <c r="H111" s="21" t="s">
        <v>143</v>
      </c>
      <c r="I111" s="19">
        <v>79101.600000000006</v>
      </c>
      <c r="J111" s="19">
        <v>500</v>
      </c>
      <c r="K111" s="19">
        <v>3455.0800000000004</v>
      </c>
      <c r="L111" s="20">
        <f t="shared" si="19"/>
        <v>11865.24</v>
      </c>
      <c r="M111" s="19">
        <f t="shared" si="20"/>
        <v>494.38499999999999</v>
      </c>
      <c r="N111" s="25">
        <f t="shared" si="21"/>
        <v>63281.280000000006</v>
      </c>
      <c r="O111" s="45" t="s">
        <v>18</v>
      </c>
      <c r="P111" s="22" t="s">
        <v>34</v>
      </c>
      <c r="Q111" s="23">
        <v>46121</v>
      </c>
      <c r="R111" s="23">
        <v>46151</v>
      </c>
      <c r="S111" s="18" t="s">
        <v>144</v>
      </c>
    </row>
    <row r="112" spans="1:19" ht="15" customHeight="1" x14ac:dyDescent="0.3">
      <c r="A112" s="22" t="s">
        <v>304</v>
      </c>
      <c r="B112" s="22"/>
      <c r="C112" s="8">
        <v>3</v>
      </c>
      <c r="D112" s="8">
        <v>2</v>
      </c>
      <c r="E112" s="17" t="s">
        <v>15</v>
      </c>
      <c r="F112" s="17">
        <f>F109+1</f>
        <v>3</v>
      </c>
      <c r="G112" s="17">
        <v>1</v>
      </c>
      <c r="H112" s="21" t="s">
        <v>145</v>
      </c>
      <c r="I112" s="19">
        <v>71418.3</v>
      </c>
      <c r="J112" s="19">
        <v>500</v>
      </c>
      <c r="K112" s="19">
        <v>3070.9150000000004</v>
      </c>
      <c r="L112" s="20">
        <f t="shared" si="19"/>
        <v>10712.745000000001</v>
      </c>
      <c r="M112" s="19">
        <f t="shared" si="20"/>
        <v>446.36437500000005</v>
      </c>
      <c r="N112" s="25">
        <f t="shared" si="21"/>
        <v>57134.640000000007</v>
      </c>
      <c r="O112" s="45" t="s">
        <v>18</v>
      </c>
      <c r="P112" s="22" t="s">
        <v>19</v>
      </c>
      <c r="Q112" s="23">
        <v>46101</v>
      </c>
      <c r="R112" s="47">
        <v>46132</v>
      </c>
      <c r="S112" s="18" t="s">
        <v>136</v>
      </c>
    </row>
    <row r="113" spans="1:19" ht="15" customHeight="1" x14ac:dyDescent="0.3">
      <c r="A113" s="22" t="s">
        <v>305</v>
      </c>
      <c r="B113" s="22"/>
      <c r="C113" s="8">
        <v>3</v>
      </c>
      <c r="D113" s="8">
        <v>2</v>
      </c>
      <c r="E113" s="17" t="s">
        <v>15</v>
      </c>
      <c r="F113" s="17">
        <f>F108+1</f>
        <v>3</v>
      </c>
      <c r="G113" s="17">
        <v>1</v>
      </c>
      <c r="H113" s="21" t="s">
        <v>146</v>
      </c>
      <c r="I113" s="19">
        <v>71418.3</v>
      </c>
      <c r="J113" s="19">
        <v>500</v>
      </c>
      <c r="K113" s="19">
        <v>3070.9150000000004</v>
      </c>
      <c r="L113" s="20">
        <f t="shared" si="19"/>
        <v>10712.745000000001</v>
      </c>
      <c r="M113" s="19">
        <f t="shared" si="20"/>
        <v>446.36437500000005</v>
      </c>
      <c r="N113" s="25">
        <f t="shared" si="21"/>
        <v>57134.640000000007</v>
      </c>
      <c r="O113" s="30" t="s">
        <v>377</v>
      </c>
      <c r="P113" s="22" t="s">
        <v>378</v>
      </c>
      <c r="Q113" s="23">
        <v>46113</v>
      </c>
      <c r="R113" s="46">
        <v>46143</v>
      </c>
      <c r="S113" s="18" t="s">
        <v>147</v>
      </c>
    </row>
    <row r="114" spans="1:19" ht="15" customHeight="1" x14ac:dyDescent="0.3">
      <c r="A114" s="22" t="s">
        <v>306</v>
      </c>
      <c r="B114" s="22"/>
      <c r="C114" s="8">
        <v>3</v>
      </c>
      <c r="D114" s="8">
        <v>2</v>
      </c>
      <c r="E114" s="17" t="s">
        <v>15</v>
      </c>
      <c r="F114" s="17">
        <f>F110+1</f>
        <v>3</v>
      </c>
      <c r="G114" s="17">
        <v>1</v>
      </c>
      <c r="H114" s="21" t="s">
        <v>148</v>
      </c>
      <c r="I114" s="19">
        <v>74802.600000000006</v>
      </c>
      <c r="J114" s="19">
        <v>500</v>
      </c>
      <c r="K114" s="19">
        <v>3240.1300000000006</v>
      </c>
      <c r="L114" s="20">
        <f t="shared" si="19"/>
        <v>11220.390000000001</v>
      </c>
      <c r="M114" s="19">
        <f t="shared" si="20"/>
        <v>467.51625000000007</v>
      </c>
      <c r="N114" s="25">
        <f t="shared" si="21"/>
        <v>59842.080000000002</v>
      </c>
      <c r="O114" s="45" t="s">
        <v>18</v>
      </c>
      <c r="P114" s="22" t="s">
        <v>32</v>
      </c>
      <c r="Q114" s="23">
        <v>46114</v>
      </c>
      <c r="R114" s="23">
        <v>46144</v>
      </c>
      <c r="S114" s="18" t="s">
        <v>149</v>
      </c>
    </row>
    <row r="115" spans="1:19" ht="15" customHeight="1" x14ac:dyDescent="0.3">
      <c r="A115" s="22" t="s">
        <v>307</v>
      </c>
      <c r="B115" s="22"/>
      <c r="C115" s="8">
        <v>3</v>
      </c>
      <c r="D115" s="8">
        <v>2</v>
      </c>
      <c r="E115" s="17" t="s">
        <v>15</v>
      </c>
      <c r="F115" s="17">
        <f>F111+1</f>
        <v>3</v>
      </c>
      <c r="G115" s="17">
        <v>1</v>
      </c>
      <c r="H115" s="21" t="s">
        <v>150</v>
      </c>
      <c r="I115" s="19">
        <v>74802.600000000006</v>
      </c>
      <c r="J115" s="19">
        <v>500</v>
      </c>
      <c r="K115" s="19">
        <v>3240.1300000000006</v>
      </c>
      <c r="L115" s="20">
        <f t="shared" si="19"/>
        <v>11220.390000000001</v>
      </c>
      <c r="M115" s="19">
        <f t="shared" si="20"/>
        <v>467.51625000000007</v>
      </c>
      <c r="N115" s="25">
        <f t="shared" si="21"/>
        <v>59842.080000000002</v>
      </c>
      <c r="O115" s="45" t="s">
        <v>18</v>
      </c>
      <c r="P115" s="22" t="s">
        <v>19</v>
      </c>
      <c r="Q115" s="23">
        <v>46139</v>
      </c>
      <c r="R115" s="23">
        <v>46169</v>
      </c>
      <c r="S115" s="18" t="s">
        <v>151</v>
      </c>
    </row>
    <row r="116" spans="1:19" ht="15" customHeight="1" x14ac:dyDescent="0.3">
      <c r="A116" s="22" t="s">
        <v>308</v>
      </c>
      <c r="B116" s="22" t="s">
        <v>190</v>
      </c>
      <c r="C116" s="8">
        <v>3</v>
      </c>
      <c r="D116" s="8">
        <v>2</v>
      </c>
      <c r="E116" s="17" t="s">
        <v>15</v>
      </c>
      <c r="F116" s="17">
        <f>F112+1</f>
        <v>4</v>
      </c>
      <c r="G116" s="17">
        <v>1</v>
      </c>
      <c r="H116" s="21" t="s">
        <v>152</v>
      </c>
      <c r="I116" s="19">
        <v>81679.55</v>
      </c>
      <c r="J116" s="19">
        <v>500</v>
      </c>
      <c r="K116" s="19">
        <v>3583.9775000000004</v>
      </c>
      <c r="L116" s="20">
        <f t="shared" si="19"/>
        <v>12251.932500000001</v>
      </c>
      <c r="M116" s="19">
        <f t="shared" si="20"/>
        <v>510.49718750000005</v>
      </c>
      <c r="N116" s="25">
        <f t="shared" si="21"/>
        <v>65343.640000000007</v>
      </c>
      <c r="O116" s="45" t="s">
        <v>18</v>
      </c>
      <c r="P116" s="22" t="s">
        <v>22</v>
      </c>
      <c r="Q116" s="23">
        <v>46132</v>
      </c>
      <c r="R116" s="23">
        <v>46162</v>
      </c>
      <c r="S116" s="18" t="s">
        <v>153</v>
      </c>
    </row>
    <row r="117" spans="1:19" ht="15" customHeight="1" x14ac:dyDescent="0.3">
      <c r="A117" s="22" t="s">
        <v>309</v>
      </c>
      <c r="B117" s="22" t="s">
        <v>190</v>
      </c>
      <c r="C117" s="8">
        <v>3</v>
      </c>
      <c r="D117" s="8">
        <v>2</v>
      </c>
      <c r="E117" s="17" t="s">
        <v>15</v>
      </c>
      <c r="F117" s="17">
        <f t="shared" ref="F117:F119" si="22">F113+1</f>
        <v>4</v>
      </c>
      <c r="G117" s="17">
        <v>1</v>
      </c>
      <c r="H117" s="21" t="s">
        <v>154</v>
      </c>
      <c r="I117" s="19">
        <v>81679.55</v>
      </c>
      <c r="J117" s="19">
        <v>500</v>
      </c>
      <c r="K117" s="19">
        <v>3583.9775000000004</v>
      </c>
      <c r="L117" s="20">
        <f t="shared" si="19"/>
        <v>12251.932500000001</v>
      </c>
      <c r="M117" s="19">
        <f t="shared" si="20"/>
        <v>510.49718750000005</v>
      </c>
      <c r="N117" s="25">
        <f t="shared" si="21"/>
        <v>65343.640000000007</v>
      </c>
      <c r="O117" s="45" t="s">
        <v>18</v>
      </c>
      <c r="P117" s="22" t="s">
        <v>19</v>
      </c>
      <c r="Q117" s="23">
        <v>46122</v>
      </c>
      <c r="R117" s="23">
        <v>46152</v>
      </c>
      <c r="S117" s="18" t="s">
        <v>155</v>
      </c>
    </row>
    <row r="118" spans="1:19" ht="15" customHeight="1" x14ac:dyDescent="0.3">
      <c r="A118" s="22" t="s">
        <v>310</v>
      </c>
      <c r="B118" s="22" t="s">
        <v>191</v>
      </c>
      <c r="C118" s="8">
        <v>3</v>
      </c>
      <c r="D118" s="8">
        <v>2</v>
      </c>
      <c r="E118" s="17" t="s">
        <v>15</v>
      </c>
      <c r="F118" s="17">
        <f t="shared" si="22"/>
        <v>4</v>
      </c>
      <c r="G118" s="17">
        <v>1</v>
      </c>
      <c r="H118" s="21" t="s">
        <v>156</v>
      </c>
      <c r="I118" s="19">
        <v>85550.1</v>
      </c>
      <c r="J118" s="19">
        <v>500</v>
      </c>
      <c r="K118" s="19">
        <v>3777.5050000000001</v>
      </c>
      <c r="L118" s="20">
        <f t="shared" si="19"/>
        <v>12832.515000000001</v>
      </c>
      <c r="M118" s="19">
        <f t="shared" si="20"/>
        <v>534.68812500000001</v>
      </c>
      <c r="N118" s="25">
        <f t="shared" si="21"/>
        <v>68440.08</v>
      </c>
      <c r="O118" s="45" t="s">
        <v>18</v>
      </c>
      <c r="P118" s="23" t="s">
        <v>19</v>
      </c>
      <c r="Q118" s="23">
        <v>46122</v>
      </c>
      <c r="R118" s="23">
        <v>46152</v>
      </c>
      <c r="S118" s="18" t="s">
        <v>155</v>
      </c>
    </row>
    <row r="119" spans="1:19" ht="15" customHeight="1" x14ac:dyDescent="0.3">
      <c r="A119" s="22" t="s">
        <v>311</v>
      </c>
      <c r="B119" s="22" t="s">
        <v>191</v>
      </c>
      <c r="C119" s="8">
        <v>3</v>
      </c>
      <c r="D119" s="8">
        <v>2</v>
      </c>
      <c r="E119" s="17" t="s">
        <v>15</v>
      </c>
      <c r="F119" s="17">
        <f t="shared" si="22"/>
        <v>4</v>
      </c>
      <c r="G119" s="17">
        <v>1</v>
      </c>
      <c r="H119" s="21" t="s">
        <v>157</v>
      </c>
      <c r="I119" s="19">
        <v>85550.1</v>
      </c>
      <c r="J119" s="19">
        <v>500</v>
      </c>
      <c r="K119" s="19">
        <v>3777.5050000000001</v>
      </c>
      <c r="L119" s="20">
        <f t="shared" si="19"/>
        <v>12832.515000000001</v>
      </c>
      <c r="M119" s="19">
        <f t="shared" si="20"/>
        <v>534.68812500000001</v>
      </c>
      <c r="N119" s="25">
        <f t="shared" si="21"/>
        <v>68440.08</v>
      </c>
      <c r="O119" s="30" t="s">
        <v>377</v>
      </c>
      <c r="P119" s="22" t="s">
        <v>22</v>
      </c>
      <c r="Q119" s="23">
        <v>46120</v>
      </c>
      <c r="R119" s="46">
        <v>46150</v>
      </c>
      <c r="S119" s="60"/>
    </row>
    <row r="120" spans="1:19" ht="15" customHeight="1" x14ac:dyDescent="0.3">
      <c r="A120" s="22" t="s">
        <v>312</v>
      </c>
      <c r="B120" s="22"/>
      <c r="C120" s="8">
        <v>2</v>
      </c>
      <c r="D120" s="8">
        <v>2</v>
      </c>
      <c r="E120" s="17" t="s">
        <v>66</v>
      </c>
      <c r="F120" s="17">
        <v>1</v>
      </c>
      <c r="G120" s="17">
        <v>1</v>
      </c>
      <c r="H120" s="21" t="s">
        <v>158</v>
      </c>
      <c r="I120" s="19">
        <v>62109.5</v>
      </c>
      <c r="J120" s="19">
        <v>500</v>
      </c>
      <c r="K120" s="19">
        <v>2605.4750000000004</v>
      </c>
      <c r="L120" s="20">
        <f t="shared" si="19"/>
        <v>9316.4249999999993</v>
      </c>
      <c r="M120" s="19">
        <f t="shared" si="20"/>
        <v>388.18437499999999</v>
      </c>
      <c r="N120" s="25">
        <f t="shared" si="21"/>
        <v>49687.600000000006</v>
      </c>
      <c r="O120" s="30" t="s">
        <v>377</v>
      </c>
      <c r="P120" s="22" t="s">
        <v>19</v>
      </c>
      <c r="Q120" s="23">
        <v>46095</v>
      </c>
      <c r="R120" s="46">
        <v>46128</v>
      </c>
      <c r="S120" s="60"/>
    </row>
    <row r="121" spans="1:19" ht="15" customHeight="1" x14ac:dyDescent="0.3">
      <c r="A121" s="22" t="s">
        <v>313</v>
      </c>
      <c r="B121" s="22"/>
      <c r="C121" s="8">
        <v>2</v>
      </c>
      <c r="D121" s="8">
        <v>2</v>
      </c>
      <c r="E121" s="17" t="s">
        <v>66</v>
      </c>
      <c r="F121" s="17">
        <v>1</v>
      </c>
      <c r="G121" s="17">
        <v>1</v>
      </c>
      <c r="H121" s="21" t="s">
        <v>159</v>
      </c>
      <c r="I121" s="19">
        <v>62109.5</v>
      </c>
      <c r="J121" s="19">
        <v>500</v>
      </c>
      <c r="K121" s="19">
        <v>2605.4750000000004</v>
      </c>
      <c r="L121" s="20">
        <f t="shared" si="19"/>
        <v>9316.4249999999993</v>
      </c>
      <c r="M121" s="19">
        <f t="shared" si="20"/>
        <v>388.18437499999999</v>
      </c>
      <c r="N121" s="25">
        <f t="shared" si="21"/>
        <v>49687.600000000006</v>
      </c>
      <c r="O121" s="45" t="s">
        <v>18</v>
      </c>
      <c r="P121" s="22" t="s">
        <v>19</v>
      </c>
      <c r="Q121" s="23">
        <v>46133</v>
      </c>
      <c r="R121" s="23">
        <v>46163</v>
      </c>
      <c r="S121" s="18" t="s">
        <v>133</v>
      </c>
    </row>
    <row r="122" spans="1:19" ht="15" customHeight="1" x14ac:dyDescent="0.3">
      <c r="A122" s="22" t="s">
        <v>314</v>
      </c>
      <c r="B122" s="22"/>
      <c r="C122" s="8">
        <v>2</v>
      </c>
      <c r="D122" s="8">
        <v>2</v>
      </c>
      <c r="E122" s="17" t="s">
        <v>66</v>
      </c>
      <c r="F122" s="17">
        <v>1</v>
      </c>
      <c r="G122" s="17">
        <v>1</v>
      </c>
      <c r="H122" s="21" t="s">
        <v>160</v>
      </c>
      <c r="I122" s="19">
        <v>62109.5</v>
      </c>
      <c r="J122" s="19">
        <v>500</v>
      </c>
      <c r="K122" s="19">
        <v>2605.4750000000004</v>
      </c>
      <c r="L122" s="20">
        <f t="shared" si="19"/>
        <v>9316.4249999999993</v>
      </c>
      <c r="M122" s="19">
        <f t="shared" si="20"/>
        <v>388.18437499999999</v>
      </c>
      <c r="N122" s="25">
        <f t="shared" si="21"/>
        <v>49687.600000000006</v>
      </c>
      <c r="O122" s="45" t="s">
        <v>18</v>
      </c>
      <c r="P122" s="22" t="s">
        <v>19</v>
      </c>
      <c r="Q122" s="23">
        <v>46134</v>
      </c>
      <c r="R122" s="23">
        <v>46164</v>
      </c>
      <c r="S122" s="18" t="s">
        <v>161</v>
      </c>
    </row>
    <row r="123" spans="1:19" ht="15" customHeight="1" x14ac:dyDescent="0.3">
      <c r="A123" s="22" t="s">
        <v>315</v>
      </c>
      <c r="B123" s="22"/>
      <c r="C123" s="8">
        <v>2</v>
      </c>
      <c r="D123" s="8">
        <v>2</v>
      </c>
      <c r="E123" s="17" t="s">
        <v>66</v>
      </c>
      <c r="F123" s="17">
        <v>1</v>
      </c>
      <c r="G123" s="17">
        <v>1</v>
      </c>
      <c r="H123" s="21" t="s">
        <v>162</v>
      </c>
      <c r="I123" s="19">
        <v>62109.5</v>
      </c>
      <c r="J123" s="19">
        <v>500</v>
      </c>
      <c r="K123" s="19">
        <v>2605.4750000000004</v>
      </c>
      <c r="L123" s="20">
        <f t="shared" si="19"/>
        <v>9316.4249999999993</v>
      </c>
      <c r="M123" s="19">
        <f t="shared" si="20"/>
        <v>388.18437499999999</v>
      </c>
      <c r="N123" s="25">
        <f t="shared" si="21"/>
        <v>49687.600000000006</v>
      </c>
      <c r="O123" s="45" t="s">
        <v>18</v>
      </c>
      <c r="P123" s="22" t="s">
        <v>22</v>
      </c>
      <c r="Q123" s="23">
        <v>46132</v>
      </c>
      <c r="R123" s="23">
        <v>46162</v>
      </c>
      <c r="S123" s="18" t="s">
        <v>153</v>
      </c>
    </row>
    <row r="124" spans="1:19" ht="15" customHeight="1" x14ac:dyDescent="0.3">
      <c r="A124" s="22" t="s">
        <v>316</v>
      </c>
      <c r="B124" s="22"/>
      <c r="C124" s="8">
        <v>2</v>
      </c>
      <c r="D124" s="8">
        <v>2</v>
      </c>
      <c r="E124" s="17" t="s">
        <v>66</v>
      </c>
      <c r="F124" s="17">
        <f>F120+1</f>
        <v>2</v>
      </c>
      <c r="G124" s="17">
        <v>1</v>
      </c>
      <c r="H124" s="21" t="s">
        <v>163</v>
      </c>
      <c r="I124" s="19">
        <v>61800.800000000003</v>
      </c>
      <c r="J124" s="19">
        <v>500</v>
      </c>
      <c r="K124" s="19">
        <v>2590.0400000000004</v>
      </c>
      <c r="L124" s="20">
        <f t="shared" si="19"/>
        <v>9270.1200000000008</v>
      </c>
      <c r="M124" s="19">
        <f t="shared" si="20"/>
        <v>386.25500000000005</v>
      </c>
      <c r="N124" s="25">
        <f t="shared" si="21"/>
        <v>49440.639999999999</v>
      </c>
      <c r="O124" s="30" t="s">
        <v>377</v>
      </c>
      <c r="P124" s="22" t="s">
        <v>22</v>
      </c>
      <c r="Q124" s="23">
        <v>46105</v>
      </c>
      <c r="R124" s="46">
        <v>46136</v>
      </c>
      <c r="S124" s="60"/>
    </row>
    <row r="125" spans="1:19" ht="15" customHeight="1" x14ac:dyDescent="0.3">
      <c r="A125" s="22" t="s">
        <v>317</v>
      </c>
      <c r="B125" s="22"/>
      <c r="C125" s="8">
        <v>2</v>
      </c>
      <c r="D125" s="8">
        <v>2</v>
      </c>
      <c r="E125" s="17" t="s">
        <v>66</v>
      </c>
      <c r="F125" s="17">
        <f t="shared" ref="F125:F135" si="23">F121+1</f>
        <v>2</v>
      </c>
      <c r="G125" s="17">
        <v>1</v>
      </c>
      <c r="H125" s="21" t="s">
        <v>163</v>
      </c>
      <c r="I125" s="19">
        <v>61800.800000000003</v>
      </c>
      <c r="J125" s="19">
        <v>500</v>
      </c>
      <c r="K125" s="19">
        <v>2590.0400000000004</v>
      </c>
      <c r="L125" s="20">
        <f t="shared" si="19"/>
        <v>9270.1200000000008</v>
      </c>
      <c r="M125" s="19">
        <f t="shared" si="20"/>
        <v>386.25500000000005</v>
      </c>
      <c r="N125" s="25">
        <f t="shared" si="21"/>
        <v>49440.639999999999</v>
      </c>
      <c r="O125" s="30" t="s">
        <v>377</v>
      </c>
      <c r="P125" s="22" t="s">
        <v>22</v>
      </c>
      <c r="Q125" s="23">
        <v>46101</v>
      </c>
      <c r="R125" s="46">
        <v>46132</v>
      </c>
      <c r="S125" s="60"/>
    </row>
    <row r="126" spans="1:19" ht="15" customHeight="1" x14ac:dyDescent="0.3">
      <c r="A126" s="22" t="s">
        <v>318</v>
      </c>
      <c r="B126" s="22"/>
      <c r="C126" s="8">
        <v>2</v>
      </c>
      <c r="D126" s="8">
        <v>2</v>
      </c>
      <c r="E126" s="17" t="s">
        <v>66</v>
      </c>
      <c r="F126" s="17">
        <f t="shared" si="23"/>
        <v>2</v>
      </c>
      <c r="G126" s="17">
        <v>1</v>
      </c>
      <c r="H126" s="21" t="s">
        <v>164</v>
      </c>
      <c r="I126" s="19">
        <v>61800.800000000003</v>
      </c>
      <c r="J126" s="19">
        <v>500</v>
      </c>
      <c r="K126" s="19">
        <v>2590.0400000000004</v>
      </c>
      <c r="L126" s="20">
        <f t="shared" si="19"/>
        <v>9270.1200000000008</v>
      </c>
      <c r="M126" s="19">
        <f t="shared" si="20"/>
        <v>386.25500000000005</v>
      </c>
      <c r="N126" s="25">
        <f t="shared" si="21"/>
        <v>49440.639999999999</v>
      </c>
      <c r="O126" s="45" t="s">
        <v>18</v>
      </c>
      <c r="P126" s="22" t="s">
        <v>19</v>
      </c>
      <c r="Q126" s="23">
        <v>46129</v>
      </c>
      <c r="R126" s="23">
        <v>46159</v>
      </c>
      <c r="S126" s="18" t="s">
        <v>165</v>
      </c>
    </row>
    <row r="127" spans="1:19" ht="15" customHeight="1" x14ac:dyDescent="0.3">
      <c r="A127" s="22" t="s">
        <v>319</v>
      </c>
      <c r="B127" s="22"/>
      <c r="C127" s="8">
        <v>2</v>
      </c>
      <c r="D127" s="8">
        <v>2</v>
      </c>
      <c r="E127" s="17" t="s">
        <v>66</v>
      </c>
      <c r="F127" s="17">
        <f t="shared" si="23"/>
        <v>2</v>
      </c>
      <c r="G127" s="17">
        <v>1</v>
      </c>
      <c r="H127" s="21" t="s">
        <v>166</v>
      </c>
      <c r="I127" s="19">
        <v>61800.800000000003</v>
      </c>
      <c r="J127" s="19">
        <v>500</v>
      </c>
      <c r="K127" s="19">
        <v>2590.0400000000004</v>
      </c>
      <c r="L127" s="20">
        <f t="shared" si="19"/>
        <v>9270.1200000000008</v>
      </c>
      <c r="M127" s="19">
        <f t="shared" si="20"/>
        <v>386.25500000000005</v>
      </c>
      <c r="N127" s="25">
        <f t="shared" si="21"/>
        <v>49440.639999999999</v>
      </c>
      <c r="O127" s="45" t="s">
        <v>18</v>
      </c>
      <c r="P127" s="22" t="s">
        <v>19</v>
      </c>
      <c r="Q127" s="23">
        <v>46130</v>
      </c>
      <c r="R127" s="23">
        <v>46160</v>
      </c>
      <c r="S127" s="18" t="s">
        <v>167</v>
      </c>
    </row>
    <row r="128" spans="1:19" ht="15" customHeight="1" x14ac:dyDescent="0.3">
      <c r="A128" s="22" t="s">
        <v>320</v>
      </c>
      <c r="B128" s="22"/>
      <c r="C128" s="8">
        <v>2</v>
      </c>
      <c r="D128" s="8">
        <v>2</v>
      </c>
      <c r="E128" s="17" t="s">
        <v>66</v>
      </c>
      <c r="F128" s="17">
        <f t="shared" si="23"/>
        <v>3</v>
      </c>
      <c r="G128" s="17">
        <v>1</v>
      </c>
      <c r="H128" s="21" t="s">
        <v>168</v>
      </c>
      <c r="I128" s="19">
        <v>58713.8</v>
      </c>
      <c r="J128" s="19">
        <v>500</v>
      </c>
      <c r="K128" s="19">
        <v>2435.6900000000005</v>
      </c>
      <c r="L128" s="20">
        <f t="shared" si="19"/>
        <v>8807.07</v>
      </c>
      <c r="M128" s="19">
        <f t="shared" si="20"/>
        <v>366.96125000000001</v>
      </c>
      <c r="N128" s="25">
        <f t="shared" si="21"/>
        <v>46971.040000000001</v>
      </c>
      <c r="O128" s="45" t="s">
        <v>18</v>
      </c>
      <c r="P128" s="22" t="s">
        <v>22</v>
      </c>
      <c r="Q128" s="23">
        <v>46117</v>
      </c>
      <c r="R128" s="23">
        <v>46147</v>
      </c>
      <c r="S128" s="18" t="s">
        <v>144</v>
      </c>
    </row>
    <row r="129" spans="1:19" ht="15" customHeight="1" x14ac:dyDescent="0.3">
      <c r="A129" s="22" t="s">
        <v>321</v>
      </c>
      <c r="B129" s="22"/>
      <c r="C129" s="8">
        <v>2</v>
      </c>
      <c r="D129" s="8">
        <v>2</v>
      </c>
      <c r="E129" s="17" t="s">
        <v>66</v>
      </c>
      <c r="F129" s="17">
        <f t="shared" si="23"/>
        <v>3</v>
      </c>
      <c r="G129" s="17">
        <v>1</v>
      </c>
      <c r="H129" s="21" t="s">
        <v>169</v>
      </c>
      <c r="I129" s="19">
        <v>58713.8</v>
      </c>
      <c r="J129" s="19">
        <v>500</v>
      </c>
      <c r="K129" s="19">
        <v>2435.6900000000005</v>
      </c>
      <c r="L129" s="20">
        <f t="shared" si="19"/>
        <v>8807.07</v>
      </c>
      <c r="M129" s="19">
        <f t="shared" si="20"/>
        <v>366.96125000000001</v>
      </c>
      <c r="N129" s="25">
        <f t="shared" si="21"/>
        <v>46971.040000000001</v>
      </c>
      <c r="O129" s="45" t="s">
        <v>18</v>
      </c>
      <c r="P129" s="22" t="s">
        <v>22</v>
      </c>
      <c r="Q129" s="23">
        <v>46117</v>
      </c>
      <c r="R129" s="23">
        <v>46147</v>
      </c>
      <c r="S129" s="18" t="s">
        <v>144</v>
      </c>
    </row>
    <row r="130" spans="1:19" ht="15" customHeight="1" x14ac:dyDescent="0.3">
      <c r="A130" s="22" t="s">
        <v>322</v>
      </c>
      <c r="B130" s="22"/>
      <c r="C130" s="8">
        <v>2</v>
      </c>
      <c r="D130" s="8">
        <v>2</v>
      </c>
      <c r="E130" s="17" t="s">
        <v>66</v>
      </c>
      <c r="F130" s="17">
        <f t="shared" si="23"/>
        <v>3</v>
      </c>
      <c r="G130" s="17">
        <v>1</v>
      </c>
      <c r="H130" s="21" t="s">
        <v>170</v>
      </c>
      <c r="I130" s="19">
        <v>58713.8</v>
      </c>
      <c r="J130" s="19">
        <v>500</v>
      </c>
      <c r="K130" s="19">
        <v>2435.6900000000005</v>
      </c>
      <c r="L130" s="20">
        <f t="shared" si="19"/>
        <v>8807.07</v>
      </c>
      <c r="M130" s="19">
        <f t="shared" si="20"/>
        <v>366.96125000000001</v>
      </c>
      <c r="N130" s="25">
        <f t="shared" si="21"/>
        <v>46971.040000000001</v>
      </c>
      <c r="O130" s="45" t="s">
        <v>18</v>
      </c>
      <c r="P130" s="22" t="s">
        <v>22</v>
      </c>
      <c r="Q130" s="23">
        <v>46118</v>
      </c>
      <c r="R130" s="23">
        <v>46148</v>
      </c>
      <c r="S130" s="18" t="s">
        <v>171</v>
      </c>
    </row>
    <row r="131" spans="1:19" ht="15" customHeight="1" x14ac:dyDescent="0.3">
      <c r="A131" s="22" t="s">
        <v>323</v>
      </c>
      <c r="B131" s="22"/>
      <c r="C131" s="8">
        <v>2</v>
      </c>
      <c r="D131" s="8">
        <v>2</v>
      </c>
      <c r="E131" s="17" t="s">
        <v>66</v>
      </c>
      <c r="F131" s="17">
        <f t="shared" si="23"/>
        <v>3</v>
      </c>
      <c r="G131" s="17">
        <v>1</v>
      </c>
      <c r="H131" s="63"/>
      <c r="I131" s="19">
        <v>58713.8</v>
      </c>
      <c r="J131" s="19">
        <v>500</v>
      </c>
      <c r="K131" s="19">
        <v>2435.6900000000005</v>
      </c>
      <c r="L131" s="20">
        <f t="shared" si="19"/>
        <v>8807.07</v>
      </c>
      <c r="M131" s="19">
        <f t="shared" si="20"/>
        <v>366.96125000000001</v>
      </c>
      <c r="N131" s="25">
        <f t="shared" si="21"/>
        <v>46971.040000000001</v>
      </c>
      <c r="O131" s="45" t="s">
        <v>35</v>
      </c>
      <c r="P131" s="22" t="s">
        <v>19</v>
      </c>
      <c r="Q131" s="23">
        <v>46137</v>
      </c>
      <c r="R131" s="23">
        <v>46139</v>
      </c>
      <c r="S131" s="18"/>
    </row>
    <row r="132" spans="1:19" ht="15" customHeight="1" x14ac:dyDescent="0.3">
      <c r="A132" s="22" t="s">
        <v>324</v>
      </c>
      <c r="B132" s="22" t="s">
        <v>192</v>
      </c>
      <c r="C132" s="8">
        <v>2</v>
      </c>
      <c r="D132" s="8">
        <v>2</v>
      </c>
      <c r="E132" s="17" t="s">
        <v>66</v>
      </c>
      <c r="F132" s="17">
        <f t="shared" si="23"/>
        <v>4</v>
      </c>
      <c r="G132" s="17">
        <v>1</v>
      </c>
      <c r="H132" s="21"/>
      <c r="I132" s="19">
        <v>66431.3</v>
      </c>
      <c r="J132" s="19">
        <v>500</v>
      </c>
      <c r="K132" s="19">
        <v>2821.5650000000005</v>
      </c>
      <c r="L132" s="20">
        <f t="shared" si="19"/>
        <v>9964.6949999999997</v>
      </c>
      <c r="M132" s="19">
        <f t="shared" si="20"/>
        <v>415.19562500000001</v>
      </c>
      <c r="N132" s="25">
        <f t="shared" si="21"/>
        <v>53145.04</v>
      </c>
      <c r="O132" s="45" t="s">
        <v>35</v>
      </c>
      <c r="P132" s="22" t="s">
        <v>32</v>
      </c>
      <c r="Q132" s="35">
        <v>46141</v>
      </c>
      <c r="R132" s="23">
        <v>46143</v>
      </c>
      <c r="S132" s="18"/>
    </row>
    <row r="133" spans="1:19" ht="15" customHeight="1" x14ac:dyDescent="0.3">
      <c r="A133" s="22" t="s">
        <v>325</v>
      </c>
      <c r="B133" s="22" t="s">
        <v>192</v>
      </c>
      <c r="C133" s="8">
        <v>2</v>
      </c>
      <c r="D133" s="8">
        <v>2</v>
      </c>
      <c r="E133" s="17" t="s">
        <v>66</v>
      </c>
      <c r="F133" s="17">
        <f t="shared" si="23"/>
        <v>4</v>
      </c>
      <c r="G133" s="17">
        <v>1</v>
      </c>
      <c r="H133" s="21" t="s">
        <v>172</v>
      </c>
      <c r="I133" s="19">
        <v>66431.3</v>
      </c>
      <c r="J133" s="19">
        <v>500</v>
      </c>
      <c r="K133" s="19">
        <v>2821.5650000000005</v>
      </c>
      <c r="L133" s="20">
        <f t="shared" si="19"/>
        <v>9964.6949999999997</v>
      </c>
      <c r="M133" s="19">
        <f t="shared" si="20"/>
        <v>415.19562500000001</v>
      </c>
      <c r="N133" s="25">
        <f t="shared" si="21"/>
        <v>53145.04</v>
      </c>
      <c r="O133" s="45" t="s">
        <v>18</v>
      </c>
      <c r="P133" s="22" t="s">
        <v>82</v>
      </c>
      <c r="Q133" s="23">
        <v>46122</v>
      </c>
      <c r="R133" s="23">
        <v>46152</v>
      </c>
      <c r="S133" s="18" t="s">
        <v>155</v>
      </c>
    </row>
    <row r="134" spans="1:19" ht="15" customHeight="1" x14ac:dyDescent="0.3">
      <c r="A134" s="22" t="s">
        <v>326</v>
      </c>
      <c r="B134" s="22" t="s">
        <v>192</v>
      </c>
      <c r="C134" s="8">
        <v>2</v>
      </c>
      <c r="D134" s="8">
        <v>2</v>
      </c>
      <c r="E134" s="17" t="s">
        <v>66</v>
      </c>
      <c r="F134" s="17">
        <f t="shared" si="23"/>
        <v>4</v>
      </c>
      <c r="G134" s="17">
        <v>1</v>
      </c>
      <c r="H134" s="63"/>
      <c r="I134" s="19">
        <v>66431.3</v>
      </c>
      <c r="J134" s="19">
        <v>500</v>
      </c>
      <c r="K134" s="19">
        <v>2821.5650000000005</v>
      </c>
      <c r="L134" s="20">
        <f t="shared" si="19"/>
        <v>9964.6949999999997</v>
      </c>
      <c r="M134" s="19">
        <f t="shared" si="20"/>
        <v>415.19562500000001</v>
      </c>
      <c r="N134" s="25">
        <f t="shared" si="21"/>
        <v>53145.04</v>
      </c>
      <c r="O134" s="45" t="s">
        <v>53</v>
      </c>
      <c r="P134" s="22"/>
      <c r="Q134" s="23"/>
      <c r="R134" s="23"/>
      <c r="S134" s="18"/>
    </row>
    <row r="135" spans="1:19" ht="15" customHeight="1" x14ac:dyDescent="0.3">
      <c r="A135" s="22" t="s">
        <v>327</v>
      </c>
      <c r="B135" s="22" t="s">
        <v>192</v>
      </c>
      <c r="C135" s="8">
        <v>2</v>
      </c>
      <c r="D135" s="8">
        <v>2</v>
      </c>
      <c r="E135" s="17" t="s">
        <v>66</v>
      </c>
      <c r="F135" s="17">
        <f t="shared" si="23"/>
        <v>4</v>
      </c>
      <c r="G135" s="17">
        <v>1</v>
      </c>
      <c r="H135" s="63"/>
      <c r="I135" s="19">
        <v>66431.3</v>
      </c>
      <c r="J135" s="19">
        <v>500</v>
      </c>
      <c r="K135" s="19">
        <v>2821.5650000000005</v>
      </c>
      <c r="L135" s="20">
        <f t="shared" si="19"/>
        <v>9964.6949999999997</v>
      </c>
      <c r="M135" s="19">
        <f t="shared" si="20"/>
        <v>415.19562500000001</v>
      </c>
      <c r="N135" s="25">
        <f t="shared" si="21"/>
        <v>53145.04</v>
      </c>
      <c r="O135" s="45" t="s">
        <v>53</v>
      </c>
      <c r="P135" s="22"/>
      <c r="Q135" s="23"/>
      <c r="R135" s="23"/>
      <c r="S135" s="18"/>
    </row>
    <row r="136" spans="1:19" ht="15" customHeight="1" x14ac:dyDescent="0.3">
      <c r="A136" s="22" t="s">
        <v>328</v>
      </c>
      <c r="B136" s="22"/>
      <c r="C136" s="8">
        <v>3</v>
      </c>
      <c r="D136" s="8">
        <v>2</v>
      </c>
      <c r="E136" s="17" t="s">
        <v>14</v>
      </c>
      <c r="F136" s="17">
        <v>1</v>
      </c>
      <c r="G136" s="17">
        <v>1</v>
      </c>
      <c r="H136" s="21" t="s">
        <v>173</v>
      </c>
      <c r="I136" s="19">
        <v>70318.5</v>
      </c>
      <c r="J136" s="19">
        <v>500</v>
      </c>
      <c r="K136" s="19">
        <v>3015.9250000000002</v>
      </c>
      <c r="L136" s="20">
        <f t="shared" si="19"/>
        <v>10547.775</v>
      </c>
      <c r="M136" s="19">
        <f t="shared" si="20"/>
        <v>439.49062499999997</v>
      </c>
      <c r="N136" s="25">
        <f t="shared" si="21"/>
        <v>56254.799999999996</v>
      </c>
      <c r="O136" s="45" t="s">
        <v>18</v>
      </c>
      <c r="P136" s="22" t="s">
        <v>19</v>
      </c>
      <c r="Q136" s="23">
        <v>46138</v>
      </c>
      <c r="R136" s="23">
        <v>46168</v>
      </c>
      <c r="S136" s="18" t="s">
        <v>174</v>
      </c>
    </row>
    <row r="137" spans="1:19" ht="15" customHeight="1" x14ac:dyDescent="0.3">
      <c r="A137" s="22" t="s">
        <v>329</v>
      </c>
      <c r="B137" s="22"/>
      <c r="C137" s="8">
        <v>3</v>
      </c>
      <c r="D137" s="8">
        <v>2</v>
      </c>
      <c r="E137" s="17" t="s">
        <v>14</v>
      </c>
      <c r="F137" s="17">
        <v>1</v>
      </c>
      <c r="G137" s="17">
        <v>1</v>
      </c>
      <c r="H137" s="21" t="s">
        <v>175</v>
      </c>
      <c r="I137" s="19">
        <v>70318.5</v>
      </c>
      <c r="J137" s="19">
        <v>500</v>
      </c>
      <c r="K137" s="19">
        <v>3015.9250000000002</v>
      </c>
      <c r="L137" s="20">
        <f t="shared" si="19"/>
        <v>10547.775</v>
      </c>
      <c r="M137" s="19">
        <f t="shared" si="20"/>
        <v>439.49062499999997</v>
      </c>
      <c r="N137" s="25">
        <f t="shared" si="21"/>
        <v>56254.799999999996</v>
      </c>
      <c r="O137" s="45" t="s">
        <v>18</v>
      </c>
      <c r="P137" s="22" t="s">
        <v>32</v>
      </c>
      <c r="Q137" s="23">
        <v>46140</v>
      </c>
      <c r="R137" s="23">
        <v>46170</v>
      </c>
      <c r="S137" s="18" t="s">
        <v>176</v>
      </c>
    </row>
    <row r="138" spans="1:19" ht="15" customHeight="1" x14ac:dyDescent="0.3">
      <c r="A138" s="22" t="s">
        <v>330</v>
      </c>
      <c r="B138" s="22"/>
      <c r="C138" s="8">
        <v>3</v>
      </c>
      <c r="D138" s="8">
        <v>2</v>
      </c>
      <c r="E138" s="17" t="s">
        <v>14</v>
      </c>
      <c r="F138" s="17">
        <v>1</v>
      </c>
      <c r="G138" s="17">
        <v>1</v>
      </c>
      <c r="H138" s="63"/>
      <c r="I138" s="19">
        <v>70919.75</v>
      </c>
      <c r="J138" s="19">
        <v>500</v>
      </c>
      <c r="K138" s="19">
        <v>3045.9875000000002</v>
      </c>
      <c r="L138" s="20">
        <f t="shared" si="19"/>
        <v>10637.9625</v>
      </c>
      <c r="M138" s="19">
        <f t="shared" si="20"/>
        <v>443.24843749999997</v>
      </c>
      <c r="N138" s="25">
        <f t="shared" si="21"/>
        <v>56735.799999999996</v>
      </c>
      <c r="O138" s="45" t="s">
        <v>53</v>
      </c>
      <c r="P138" s="22"/>
      <c r="Q138" s="23"/>
      <c r="R138" s="23"/>
      <c r="S138" s="18"/>
    </row>
    <row r="139" spans="1:19" ht="15" customHeight="1" x14ac:dyDescent="0.3">
      <c r="A139" s="22" t="s">
        <v>331</v>
      </c>
      <c r="B139" s="22"/>
      <c r="C139" s="8">
        <v>3</v>
      </c>
      <c r="D139" s="8">
        <v>2</v>
      </c>
      <c r="E139" s="17" t="s">
        <v>14</v>
      </c>
      <c r="F139" s="17">
        <v>1</v>
      </c>
      <c r="G139" s="17">
        <v>1</v>
      </c>
      <c r="H139" s="63"/>
      <c r="I139" s="19">
        <v>70919.75</v>
      </c>
      <c r="J139" s="19">
        <v>500</v>
      </c>
      <c r="K139" s="19">
        <v>3045.9875000000002</v>
      </c>
      <c r="L139" s="20">
        <f t="shared" si="19"/>
        <v>10637.9625</v>
      </c>
      <c r="M139" s="19">
        <f t="shared" si="20"/>
        <v>443.24843749999997</v>
      </c>
      <c r="N139" s="25">
        <f t="shared" si="21"/>
        <v>56735.799999999996</v>
      </c>
      <c r="O139" s="45" t="s">
        <v>53</v>
      </c>
      <c r="P139" s="22"/>
      <c r="Q139" s="23"/>
      <c r="R139" s="23"/>
      <c r="S139" s="18"/>
    </row>
    <row r="140" spans="1:19" ht="15" customHeight="1" x14ac:dyDescent="0.3">
      <c r="A140" s="22" t="s">
        <v>332</v>
      </c>
      <c r="B140" s="22"/>
      <c r="C140" s="8">
        <v>3</v>
      </c>
      <c r="D140" s="8">
        <v>2</v>
      </c>
      <c r="E140" s="17" t="s">
        <v>14</v>
      </c>
      <c r="F140" s="17">
        <f>F136+1</f>
        <v>2</v>
      </c>
      <c r="G140" s="17">
        <v>1</v>
      </c>
      <c r="H140" s="21" t="s">
        <v>177</v>
      </c>
      <c r="I140" s="19">
        <v>69938.399999999994</v>
      </c>
      <c r="J140" s="19">
        <v>500</v>
      </c>
      <c r="K140" s="19">
        <v>2996.92</v>
      </c>
      <c r="L140" s="20">
        <f t="shared" si="19"/>
        <v>10490.759999999998</v>
      </c>
      <c r="M140" s="19">
        <f t="shared" si="20"/>
        <v>437.11499999999995</v>
      </c>
      <c r="N140" s="25">
        <f t="shared" si="21"/>
        <v>55950.720000000001</v>
      </c>
      <c r="O140" s="45" t="s">
        <v>18</v>
      </c>
      <c r="P140" s="22" t="s">
        <v>378</v>
      </c>
      <c r="Q140" s="23">
        <v>46136</v>
      </c>
      <c r="R140" s="23">
        <v>46166</v>
      </c>
      <c r="S140" s="18" t="s">
        <v>106</v>
      </c>
    </row>
    <row r="141" spans="1:19" ht="15" customHeight="1" x14ac:dyDescent="0.3">
      <c r="A141" s="22" t="s">
        <v>333</v>
      </c>
      <c r="B141" s="22"/>
      <c r="C141" s="8">
        <v>3</v>
      </c>
      <c r="D141" s="8">
        <v>2</v>
      </c>
      <c r="E141" s="17" t="s">
        <v>14</v>
      </c>
      <c r="F141" s="17">
        <f t="shared" ref="F141:F151" si="24">F137+1</f>
        <v>2</v>
      </c>
      <c r="G141" s="17">
        <v>1</v>
      </c>
      <c r="H141" s="21" t="s">
        <v>178</v>
      </c>
      <c r="I141" s="19">
        <v>69938.399999999994</v>
      </c>
      <c r="J141" s="19">
        <v>500</v>
      </c>
      <c r="K141" s="19">
        <v>2996.92</v>
      </c>
      <c r="L141" s="20">
        <f t="shared" si="19"/>
        <v>10490.759999999998</v>
      </c>
      <c r="M141" s="19">
        <f t="shared" si="20"/>
        <v>437.11499999999995</v>
      </c>
      <c r="N141" s="25">
        <f t="shared" si="21"/>
        <v>55950.720000000001</v>
      </c>
      <c r="O141" s="45" t="s">
        <v>18</v>
      </c>
      <c r="P141" s="22" t="s">
        <v>22</v>
      </c>
      <c r="Q141" s="23">
        <v>46139</v>
      </c>
      <c r="R141" s="23">
        <v>46169</v>
      </c>
      <c r="S141" s="18" t="s">
        <v>179</v>
      </c>
    </row>
    <row r="142" spans="1:19" ht="15" customHeight="1" x14ac:dyDescent="0.3">
      <c r="A142" s="22" t="s">
        <v>334</v>
      </c>
      <c r="B142" s="22"/>
      <c r="C142" s="8">
        <v>3</v>
      </c>
      <c r="D142" s="8">
        <v>2</v>
      </c>
      <c r="E142" s="17" t="s">
        <v>14</v>
      </c>
      <c r="F142" s="17">
        <f t="shared" si="24"/>
        <v>2</v>
      </c>
      <c r="G142" s="17">
        <v>1</v>
      </c>
      <c r="H142" s="63"/>
      <c r="I142" s="19">
        <v>70536.400000000009</v>
      </c>
      <c r="J142" s="19">
        <v>500</v>
      </c>
      <c r="K142" s="19">
        <v>3026.8200000000006</v>
      </c>
      <c r="L142" s="20">
        <f t="shared" si="19"/>
        <v>10580.460000000001</v>
      </c>
      <c r="M142" s="19">
        <f t="shared" si="20"/>
        <v>440.85250000000002</v>
      </c>
      <c r="N142" s="25">
        <f t="shared" si="21"/>
        <v>56429.120000000003</v>
      </c>
      <c r="O142" s="45" t="s">
        <v>35</v>
      </c>
      <c r="P142" s="22" t="s">
        <v>19</v>
      </c>
      <c r="Q142" s="23">
        <v>46138</v>
      </c>
      <c r="R142" s="23">
        <v>46140</v>
      </c>
      <c r="S142" s="18"/>
    </row>
    <row r="143" spans="1:19" ht="15" customHeight="1" x14ac:dyDescent="0.3">
      <c r="A143" s="22" t="s">
        <v>335</v>
      </c>
      <c r="B143" s="22"/>
      <c r="C143" s="8">
        <v>3</v>
      </c>
      <c r="D143" s="8">
        <v>2</v>
      </c>
      <c r="E143" s="17" t="s">
        <v>14</v>
      </c>
      <c r="F143" s="17">
        <f t="shared" si="24"/>
        <v>2</v>
      </c>
      <c r="G143" s="17">
        <v>1</v>
      </c>
      <c r="H143" s="21" t="s">
        <v>180</v>
      </c>
      <c r="I143" s="19">
        <v>70536.400000000009</v>
      </c>
      <c r="J143" s="19">
        <v>500</v>
      </c>
      <c r="K143" s="19">
        <v>3026.8200000000006</v>
      </c>
      <c r="L143" s="20">
        <f t="shared" si="19"/>
        <v>10580.460000000001</v>
      </c>
      <c r="M143" s="19">
        <f t="shared" si="20"/>
        <v>440.85250000000002</v>
      </c>
      <c r="N143" s="25">
        <f t="shared" si="21"/>
        <v>56429.120000000003</v>
      </c>
      <c r="O143" s="45" t="s">
        <v>18</v>
      </c>
      <c r="P143" s="22" t="s">
        <v>378</v>
      </c>
      <c r="Q143" s="23">
        <v>46140</v>
      </c>
      <c r="R143" s="23">
        <v>46170</v>
      </c>
      <c r="S143" s="18" t="s">
        <v>106</v>
      </c>
    </row>
    <row r="144" spans="1:19" ht="15" customHeight="1" x14ac:dyDescent="0.3">
      <c r="A144" s="22" t="s">
        <v>336</v>
      </c>
      <c r="B144" s="22"/>
      <c r="C144" s="8">
        <v>3</v>
      </c>
      <c r="D144" s="8">
        <v>2</v>
      </c>
      <c r="E144" s="17" t="s">
        <v>14</v>
      </c>
      <c r="F144" s="17">
        <f t="shared" si="24"/>
        <v>3</v>
      </c>
      <c r="G144" s="17">
        <v>1</v>
      </c>
      <c r="H144" s="21" t="s">
        <v>181</v>
      </c>
      <c r="I144" s="19">
        <v>66137.399999999994</v>
      </c>
      <c r="J144" s="19">
        <v>500</v>
      </c>
      <c r="K144" s="19">
        <v>2806.87</v>
      </c>
      <c r="L144" s="20">
        <f t="shared" si="19"/>
        <v>9920.6099999999988</v>
      </c>
      <c r="M144" s="19">
        <f t="shared" si="20"/>
        <v>413.35874999999993</v>
      </c>
      <c r="N144" s="25">
        <f t="shared" si="21"/>
        <v>52909.919999999991</v>
      </c>
      <c r="O144" s="45" t="s">
        <v>18</v>
      </c>
      <c r="P144" s="22" t="s">
        <v>378</v>
      </c>
      <c r="Q144" s="23">
        <v>46130</v>
      </c>
      <c r="R144" s="23">
        <v>46160</v>
      </c>
      <c r="S144" s="18" t="s">
        <v>182</v>
      </c>
    </row>
    <row r="145" spans="1:19" ht="15" customHeight="1" x14ac:dyDescent="0.3">
      <c r="A145" s="22" t="s">
        <v>337</v>
      </c>
      <c r="B145" s="22"/>
      <c r="C145" s="8">
        <v>3</v>
      </c>
      <c r="D145" s="8">
        <v>2</v>
      </c>
      <c r="E145" s="17" t="s">
        <v>14</v>
      </c>
      <c r="F145" s="17">
        <f t="shared" si="24"/>
        <v>3</v>
      </c>
      <c r="G145" s="17">
        <v>1</v>
      </c>
      <c r="H145" s="21" t="s">
        <v>183</v>
      </c>
      <c r="I145" s="19">
        <v>66137.399999999994</v>
      </c>
      <c r="J145" s="19">
        <v>500</v>
      </c>
      <c r="K145" s="19">
        <v>2806.87</v>
      </c>
      <c r="L145" s="20">
        <f t="shared" si="19"/>
        <v>9920.6099999999988</v>
      </c>
      <c r="M145" s="19">
        <f t="shared" si="20"/>
        <v>413.35874999999993</v>
      </c>
      <c r="N145" s="25">
        <f t="shared" si="21"/>
        <v>52909.919999999991</v>
      </c>
      <c r="O145" s="45" t="s">
        <v>18</v>
      </c>
      <c r="P145" s="22" t="s">
        <v>378</v>
      </c>
      <c r="Q145" s="23">
        <v>46130</v>
      </c>
      <c r="R145" s="23">
        <v>46160</v>
      </c>
      <c r="S145" s="18" t="s">
        <v>182</v>
      </c>
    </row>
    <row r="146" spans="1:19" ht="15" customHeight="1" x14ac:dyDescent="0.3">
      <c r="A146" s="22" t="s">
        <v>338</v>
      </c>
      <c r="B146" s="22"/>
      <c r="C146" s="8">
        <v>3</v>
      </c>
      <c r="D146" s="8">
        <v>2</v>
      </c>
      <c r="E146" s="17" t="s">
        <v>14</v>
      </c>
      <c r="F146" s="17">
        <f t="shared" si="24"/>
        <v>3</v>
      </c>
      <c r="G146" s="17">
        <v>1</v>
      </c>
      <c r="H146" s="21" t="s">
        <v>184</v>
      </c>
      <c r="I146" s="19">
        <v>66702.900000000009</v>
      </c>
      <c r="J146" s="19">
        <v>500</v>
      </c>
      <c r="K146" s="19">
        <v>2835.1450000000004</v>
      </c>
      <c r="L146" s="20">
        <f t="shared" si="19"/>
        <v>10005.435000000001</v>
      </c>
      <c r="M146" s="19">
        <f t="shared" si="20"/>
        <v>416.89312500000005</v>
      </c>
      <c r="N146" s="25">
        <f t="shared" si="21"/>
        <v>53362.320000000007</v>
      </c>
      <c r="O146" s="45" t="s">
        <v>18</v>
      </c>
      <c r="P146" s="22" t="s">
        <v>44</v>
      </c>
      <c r="Q146" s="23">
        <v>46129</v>
      </c>
      <c r="R146" s="23">
        <v>46159</v>
      </c>
      <c r="S146" s="18" t="s">
        <v>165</v>
      </c>
    </row>
    <row r="147" spans="1:19" ht="15" customHeight="1" x14ac:dyDescent="0.3">
      <c r="A147" s="22" t="s">
        <v>339</v>
      </c>
      <c r="B147" s="22"/>
      <c r="C147" s="8">
        <v>3</v>
      </c>
      <c r="D147" s="8">
        <v>2</v>
      </c>
      <c r="E147" s="17" t="s">
        <v>14</v>
      </c>
      <c r="F147" s="17">
        <f t="shared" si="24"/>
        <v>3</v>
      </c>
      <c r="G147" s="17">
        <v>1</v>
      </c>
      <c r="H147" s="21" t="s">
        <v>185</v>
      </c>
      <c r="I147" s="19">
        <v>66702.900000000009</v>
      </c>
      <c r="J147" s="19">
        <v>500</v>
      </c>
      <c r="K147" s="19">
        <v>2835.1450000000004</v>
      </c>
      <c r="L147" s="20">
        <f t="shared" si="19"/>
        <v>10005.435000000001</v>
      </c>
      <c r="M147" s="19">
        <f t="shared" si="20"/>
        <v>416.89312500000005</v>
      </c>
      <c r="N147" s="25">
        <f t="shared" si="21"/>
        <v>53362.320000000007</v>
      </c>
      <c r="O147" s="45" t="s">
        <v>18</v>
      </c>
      <c r="P147" s="22" t="s">
        <v>22</v>
      </c>
      <c r="Q147" s="23">
        <v>46136</v>
      </c>
      <c r="R147" s="23">
        <v>46166</v>
      </c>
      <c r="S147" s="18" t="s">
        <v>138</v>
      </c>
    </row>
    <row r="148" spans="1:19" ht="15" customHeight="1" x14ac:dyDescent="0.3">
      <c r="A148" s="22" t="s">
        <v>340</v>
      </c>
      <c r="B148" s="22" t="s">
        <v>193</v>
      </c>
      <c r="C148" s="8">
        <v>3</v>
      </c>
      <c r="D148" s="8">
        <v>2</v>
      </c>
      <c r="E148" s="17" t="s">
        <v>14</v>
      </c>
      <c r="F148" s="17">
        <f t="shared" si="24"/>
        <v>4</v>
      </c>
      <c r="G148" s="17">
        <v>1</v>
      </c>
      <c r="H148" s="21" t="s">
        <v>186</v>
      </c>
      <c r="I148" s="19">
        <v>75639.899999999994</v>
      </c>
      <c r="J148" s="19">
        <v>500</v>
      </c>
      <c r="K148" s="19">
        <v>3281.9949999999999</v>
      </c>
      <c r="L148" s="20">
        <f t="shared" si="19"/>
        <v>11345.984999999999</v>
      </c>
      <c r="M148" s="19">
        <f t="shared" si="20"/>
        <v>472.74937499999993</v>
      </c>
      <c r="N148" s="25">
        <f t="shared" si="21"/>
        <v>60511.92</v>
      </c>
      <c r="O148" s="45" t="s">
        <v>18</v>
      </c>
      <c r="P148" s="22" t="s">
        <v>22</v>
      </c>
      <c r="Q148" s="23">
        <v>46136</v>
      </c>
      <c r="R148" s="23">
        <v>46166</v>
      </c>
      <c r="S148" s="18" t="s">
        <v>138</v>
      </c>
    </row>
    <row r="149" spans="1:19" ht="15" customHeight="1" x14ac:dyDescent="0.3">
      <c r="A149" s="22" t="s">
        <v>341</v>
      </c>
      <c r="B149" s="22" t="s">
        <v>193</v>
      </c>
      <c r="C149" s="8">
        <v>3</v>
      </c>
      <c r="D149" s="8">
        <v>2</v>
      </c>
      <c r="E149" s="17" t="s">
        <v>14</v>
      </c>
      <c r="F149" s="17">
        <f t="shared" si="24"/>
        <v>4</v>
      </c>
      <c r="G149" s="17">
        <v>1</v>
      </c>
      <c r="H149" s="21" t="s">
        <v>187</v>
      </c>
      <c r="I149" s="19">
        <v>75639.899999999994</v>
      </c>
      <c r="J149" s="19">
        <v>500</v>
      </c>
      <c r="K149" s="19">
        <v>3281.9949999999999</v>
      </c>
      <c r="L149" s="20">
        <f t="shared" si="19"/>
        <v>11345.984999999999</v>
      </c>
      <c r="M149" s="19">
        <f t="shared" si="20"/>
        <v>472.74937499999993</v>
      </c>
      <c r="N149" s="25">
        <f t="shared" si="21"/>
        <v>60511.92</v>
      </c>
      <c r="O149" s="45" t="s">
        <v>18</v>
      </c>
      <c r="P149" s="22" t="s">
        <v>19</v>
      </c>
      <c r="Q149" s="23">
        <v>46136</v>
      </c>
      <c r="R149" s="23">
        <v>46166</v>
      </c>
      <c r="S149" s="18" t="s">
        <v>138</v>
      </c>
    </row>
    <row r="150" spans="1:19" ht="15" customHeight="1" x14ac:dyDescent="0.3">
      <c r="A150" s="22" t="s">
        <v>342</v>
      </c>
      <c r="B150" s="22" t="s">
        <v>194</v>
      </c>
      <c r="C150" s="8">
        <v>3</v>
      </c>
      <c r="D150" s="8">
        <v>2</v>
      </c>
      <c r="E150" s="17" t="s">
        <v>14</v>
      </c>
      <c r="F150" s="17">
        <f t="shared" si="24"/>
        <v>4</v>
      </c>
      <c r="G150" s="17">
        <v>1</v>
      </c>
      <c r="H150" s="21" t="s">
        <v>188</v>
      </c>
      <c r="I150" s="19">
        <v>76286.650000000009</v>
      </c>
      <c r="J150" s="19">
        <v>500</v>
      </c>
      <c r="K150" s="19">
        <v>3314.3325000000004</v>
      </c>
      <c r="L150" s="20">
        <f t="shared" si="19"/>
        <v>11442.997500000001</v>
      </c>
      <c r="M150" s="19">
        <f t="shared" si="20"/>
        <v>476.79156250000005</v>
      </c>
      <c r="N150" s="25">
        <f t="shared" si="21"/>
        <v>61029.320000000007</v>
      </c>
      <c r="O150" s="45" t="s">
        <v>18</v>
      </c>
      <c r="P150" s="22" t="s">
        <v>19</v>
      </c>
      <c r="Q150" s="23">
        <v>46139</v>
      </c>
      <c r="R150" s="23">
        <v>46169</v>
      </c>
      <c r="S150" s="18" t="s">
        <v>151</v>
      </c>
    </row>
    <row r="151" spans="1:19" ht="15" customHeight="1" x14ac:dyDescent="0.3">
      <c r="A151" s="22" t="s">
        <v>343</v>
      </c>
      <c r="B151" s="22" t="s">
        <v>194</v>
      </c>
      <c r="C151" s="8">
        <v>3</v>
      </c>
      <c r="D151" s="8">
        <v>2</v>
      </c>
      <c r="E151" s="17" t="s">
        <v>14</v>
      </c>
      <c r="F151" s="17">
        <f t="shared" si="24"/>
        <v>4</v>
      </c>
      <c r="G151" s="17">
        <v>1</v>
      </c>
      <c r="H151" s="21" t="s">
        <v>189</v>
      </c>
      <c r="I151" s="19">
        <v>76286.650000000009</v>
      </c>
      <c r="J151" s="19">
        <v>500</v>
      </c>
      <c r="K151" s="19">
        <v>3314.3325000000004</v>
      </c>
      <c r="L151" s="20">
        <f t="shared" si="19"/>
        <v>11442.997500000001</v>
      </c>
      <c r="M151" s="19">
        <f t="shared" si="20"/>
        <v>476.79156250000005</v>
      </c>
      <c r="N151" s="25">
        <f t="shared" si="21"/>
        <v>61029.320000000007</v>
      </c>
      <c r="O151" s="45" t="s">
        <v>18</v>
      </c>
      <c r="P151" s="22" t="s">
        <v>378</v>
      </c>
      <c r="Q151" s="23">
        <v>46137</v>
      </c>
      <c r="R151" s="23">
        <v>46167</v>
      </c>
      <c r="S151" s="18" t="s">
        <v>106</v>
      </c>
    </row>
    <row r="152" spans="1:19" ht="15" customHeight="1" x14ac:dyDescent="0.3">
      <c r="A152" s="22" t="s">
        <v>344</v>
      </c>
      <c r="B152" s="22"/>
      <c r="C152" s="8">
        <v>3</v>
      </c>
      <c r="D152" s="8">
        <v>2</v>
      </c>
      <c r="E152" s="27" t="s">
        <v>14</v>
      </c>
      <c r="F152" s="27">
        <v>1</v>
      </c>
      <c r="G152" s="27">
        <v>1</v>
      </c>
      <c r="H152" s="21"/>
      <c r="I152" s="19">
        <v>70318.5</v>
      </c>
      <c r="J152" s="19">
        <v>500</v>
      </c>
      <c r="K152" s="19">
        <v>3015.9250000000002</v>
      </c>
      <c r="L152" s="20">
        <f t="shared" ref="L152:L183" si="25">+I152*15%</f>
        <v>10547.775</v>
      </c>
      <c r="M152" s="19">
        <f t="shared" ref="M152:M183" si="26">+L152/24</f>
        <v>439.49062499999997</v>
      </c>
      <c r="N152" s="25">
        <f t="shared" ref="N152:N183" si="27">+I152-J152-K152-L152</f>
        <v>56254.799999999996</v>
      </c>
      <c r="O152" s="45" t="s">
        <v>53</v>
      </c>
      <c r="P152" s="22"/>
      <c r="Q152" s="23"/>
      <c r="R152" s="23"/>
      <c r="S152" s="18"/>
    </row>
    <row r="153" spans="1:19" ht="15" customHeight="1" x14ac:dyDescent="0.3">
      <c r="A153" s="22" t="s">
        <v>345</v>
      </c>
      <c r="B153" s="22"/>
      <c r="C153" s="8">
        <v>3</v>
      </c>
      <c r="D153" s="8">
        <v>2</v>
      </c>
      <c r="E153" s="27" t="s">
        <v>14</v>
      </c>
      <c r="F153" s="27">
        <v>1</v>
      </c>
      <c r="G153" s="27">
        <v>1</v>
      </c>
      <c r="H153" s="63"/>
      <c r="I153" s="19">
        <v>70318.5</v>
      </c>
      <c r="J153" s="19">
        <v>500</v>
      </c>
      <c r="K153" s="19">
        <v>3015.9250000000002</v>
      </c>
      <c r="L153" s="20">
        <f t="shared" si="25"/>
        <v>10547.775</v>
      </c>
      <c r="M153" s="19">
        <f t="shared" si="26"/>
        <v>439.49062499999997</v>
      </c>
      <c r="N153" s="25">
        <f t="shared" si="27"/>
        <v>56254.799999999996</v>
      </c>
      <c r="O153" s="45" t="s">
        <v>53</v>
      </c>
      <c r="P153" s="22"/>
      <c r="Q153" s="23"/>
      <c r="R153" s="23"/>
      <c r="S153" s="18"/>
    </row>
    <row r="154" spans="1:19" ht="15" customHeight="1" x14ac:dyDescent="0.3">
      <c r="A154" s="22" t="s">
        <v>346</v>
      </c>
      <c r="B154" s="22"/>
      <c r="C154" s="8">
        <v>3</v>
      </c>
      <c r="D154" s="8">
        <v>2</v>
      </c>
      <c r="E154" s="27" t="s">
        <v>14</v>
      </c>
      <c r="F154" s="27">
        <v>1</v>
      </c>
      <c r="G154" s="27">
        <v>1</v>
      </c>
      <c r="H154" s="63"/>
      <c r="I154" s="19">
        <v>70919.75</v>
      </c>
      <c r="J154" s="19">
        <v>500</v>
      </c>
      <c r="K154" s="19">
        <v>3045.9875000000002</v>
      </c>
      <c r="L154" s="20">
        <f t="shared" si="25"/>
        <v>10637.9625</v>
      </c>
      <c r="M154" s="19">
        <f t="shared" si="26"/>
        <v>443.24843749999997</v>
      </c>
      <c r="N154" s="25">
        <f t="shared" si="27"/>
        <v>56735.799999999996</v>
      </c>
      <c r="O154" s="45" t="s">
        <v>53</v>
      </c>
      <c r="P154" s="22"/>
      <c r="Q154" s="23"/>
      <c r="R154" s="23"/>
      <c r="S154" s="18"/>
    </row>
    <row r="155" spans="1:19" ht="15" customHeight="1" x14ac:dyDescent="0.3">
      <c r="A155" s="22" t="s">
        <v>347</v>
      </c>
      <c r="B155" s="22"/>
      <c r="C155" s="8">
        <v>3</v>
      </c>
      <c r="D155" s="8">
        <v>2</v>
      </c>
      <c r="E155" s="27" t="s">
        <v>14</v>
      </c>
      <c r="F155" s="27">
        <v>1</v>
      </c>
      <c r="G155" s="27">
        <v>1</v>
      </c>
      <c r="H155" s="63"/>
      <c r="I155" s="19">
        <v>70919.75</v>
      </c>
      <c r="J155" s="19">
        <v>500</v>
      </c>
      <c r="K155" s="19">
        <v>3045.9875000000002</v>
      </c>
      <c r="L155" s="20">
        <f t="shared" si="25"/>
        <v>10637.9625</v>
      </c>
      <c r="M155" s="19">
        <f t="shared" si="26"/>
        <v>443.24843749999997</v>
      </c>
      <c r="N155" s="25">
        <f t="shared" si="27"/>
        <v>56735.799999999996</v>
      </c>
      <c r="O155" s="45" t="s">
        <v>53</v>
      </c>
      <c r="P155" s="22"/>
      <c r="Q155" s="23"/>
      <c r="R155" s="23"/>
      <c r="S155" s="18"/>
    </row>
    <row r="156" spans="1:19" ht="15" customHeight="1" x14ac:dyDescent="0.3">
      <c r="A156" s="22" t="s">
        <v>348</v>
      </c>
      <c r="B156" s="22"/>
      <c r="C156" s="8">
        <v>3</v>
      </c>
      <c r="D156" s="8">
        <v>2</v>
      </c>
      <c r="E156" s="27" t="s">
        <v>14</v>
      </c>
      <c r="F156" s="27">
        <f>F152+1</f>
        <v>2</v>
      </c>
      <c r="G156" s="27">
        <v>1</v>
      </c>
      <c r="H156" s="63"/>
      <c r="I156" s="19">
        <v>69938.399999999994</v>
      </c>
      <c r="J156" s="19">
        <v>500</v>
      </c>
      <c r="K156" s="19">
        <v>2996.92</v>
      </c>
      <c r="L156" s="20">
        <f t="shared" si="25"/>
        <v>10490.759999999998</v>
      </c>
      <c r="M156" s="19">
        <f t="shared" si="26"/>
        <v>437.11499999999995</v>
      </c>
      <c r="N156" s="25">
        <f t="shared" si="27"/>
        <v>55950.720000000001</v>
      </c>
      <c r="O156" s="45" t="s">
        <v>53</v>
      </c>
      <c r="P156" s="22"/>
      <c r="Q156" s="23"/>
      <c r="R156" s="23"/>
      <c r="S156" s="18"/>
    </row>
    <row r="157" spans="1:19" ht="15" customHeight="1" x14ac:dyDescent="0.3">
      <c r="A157" s="22" t="s">
        <v>349</v>
      </c>
      <c r="B157" s="22"/>
      <c r="C157" s="8">
        <v>3</v>
      </c>
      <c r="D157" s="8">
        <v>2</v>
      </c>
      <c r="E157" s="27" t="s">
        <v>14</v>
      </c>
      <c r="F157" s="27">
        <f t="shared" ref="F157:F167" si="28">F153+1</f>
        <v>2</v>
      </c>
      <c r="G157" s="27">
        <v>1</v>
      </c>
      <c r="H157" s="63"/>
      <c r="I157" s="19">
        <v>69938.399999999994</v>
      </c>
      <c r="J157" s="19">
        <v>500</v>
      </c>
      <c r="K157" s="19">
        <v>2996.92</v>
      </c>
      <c r="L157" s="20">
        <f t="shared" si="25"/>
        <v>10490.759999999998</v>
      </c>
      <c r="M157" s="19">
        <f t="shared" si="26"/>
        <v>437.11499999999995</v>
      </c>
      <c r="N157" s="25">
        <f t="shared" si="27"/>
        <v>55950.720000000001</v>
      </c>
      <c r="O157" s="45" t="s">
        <v>53</v>
      </c>
      <c r="P157" s="22"/>
      <c r="Q157" s="23"/>
      <c r="R157" s="23"/>
      <c r="S157" s="18"/>
    </row>
    <row r="158" spans="1:19" ht="15" customHeight="1" x14ac:dyDescent="0.3">
      <c r="A158" s="22" t="s">
        <v>350</v>
      </c>
      <c r="B158" s="22"/>
      <c r="C158" s="8">
        <v>3</v>
      </c>
      <c r="D158" s="8">
        <v>2</v>
      </c>
      <c r="E158" s="27" t="s">
        <v>14</v>
      </c>
      <c r="F158" s="27">
        <f t="shared" si="28"/>
        <v>2</v>
      </c>
      <c r="G158" s="27">
        <v>1</v>
      </c>
      <c r="H158" s="63"/>
      <c r="I158" s="19">
        <v>70536.400000000009</v>
      </c>
      <c r="J158" s="19">
        <v>500</v>
      </c>
      <c r="K158" s="19">
        <v>3026.8200000000006</v>
      </c>
      <c r="L158" s="20">
        <f t="shared" si="25"/>
        <v>10580.460000000001</v>
      </c>
      <c r="M158" s="19">
        <f t="shared" si="26"/>
        <v>440.85250000000002</v>
      </c>
      <c r="N158" s="25">
        <f t="shared" si="27"/>
        <v>56429.120000000003</v>
      </c>
      <c r="O158" s="45" t="s">
        <v>53</v>
      </c>
      <c r="P158" s="22"/>
      <c r="Q158" s="23"/>
      <c r="R158" s="23"/>
      <c r="S158" s="18"/>
    </row>
    <row r="159" spans="1:19" ht="15" customHeight="1" x14ac:dyDescent="0.3">
      <c r="A159" s="22" t="s">
        <v>351</v>
      </c>
      <c r="B159" s="22"/>
      <c r="C159" s="8">
        <v>3</v>
      </c>
      <c r="D159" s="8">
        <v>2</v>
      </c>
      <c r="E159" s="27" t="s">
        <v>14</v>
      </c>
      <c r="F159" s="27">
        <f t="shared" si="28"/>
        <v>2</v>
      </c>
      <c r="G159" s="27">
        <v>1</v>
      </c>
      <c r="H159" s="63"/>
      <c r="I159" s="19">
        <v>70536.400000000009</v>
      </c>
      <c r="J159" s="19">
        <v>500</v>
      </c>
      <c r="K159" s="19">
        <v>3026.8200000000006</v>
      </c>
      <c r="L159" s="20">
        <f t="shared" si="25"/>
        <v>10580.460000000001</v>
      </c>
      <c r="M159" s="19">
        <f t="shared" si="26"/>
        <v>440.85250000000002</v>
      </c>
      <c r="N159" s="25">
        <f t="shared" si="27"/>
        <v>56429.120000000003</v>
      </c>
      <c r="O159" s="45" t="s">
        <v>53</v>
      </c>
      <c r="P159" s="22"/>
      <c r="Q159" s="23"/>
      <c r="R159" s="23"/>
      <c r="S159" s="18"/>
    </row>
    <row r="160" spans="1:19" ht="15" customHeight="1" x14ac:dyDescent="0.3">
      <c r="A160" s="22" t="s">
        <v>352</v>
      </c>
      <c r="B160" s="22"/>
      <c r="C160" s="8">
        <v>3</v>
      </c>
      <c r="D160" s="8">
        <v>2</v>
      </c>
      <c r="E160" s="27" t="s">
        <v>14</v>
      </c>
      <c r="F160" s="27">
        <f t="shared" si="28"/>
        <v>3</v>
      </c>
      <c r="G160" s="27">
        <v>1</v>
      </c>
      <c r="H160" s="63"/>
      <c r="I160" s="19">
        <v>66137.399999999994</v>
      </c>
      <c r="J160" s="19">
        <v>500</v>
      </c>
      <c r="K160" s="19">
        <v>2806.87</v>
      </c>
      <c r="L160" s="20">
        <f t="shared" si="25"/>
        <v>9920.6099999999988</v>
      </c>
      <c r="M160" s="19">
        <f t="shared" si="26"/>
        <v>413.35874999999993</v>
      </c>
      <c r="N160" s="25">
        <f t="shared" si="27"/>
        <v>52909.919999999991</v>
      </c>
      <c r="O160" s="45" t="s">
        <v>53</v>
      </c>
      <c r="P160" s="22"/>
      <c r="Q160" s="23"/>
      <c r="R160" s="23"/>
      <c r="S160" s="18"/>
    </row>
    <row r="161" spans="1:19" ht="15" customHeight="1" x14ac:dyDescent="0.3">
      <c r="A161" s="22" t="s">
        <v>353</v>
      </c>
      <c r="B161" s="22"/>
      <c r="C161" s="8">
        <v>3</v>
      </c>
      <c r="D161" s="8">
        <v>2</v>
      </c>
      <c r="E161" s="27" t="s">
        <v>14</v>
      </c>
      <c r="F161" s="27">
        <f t="shared" si="28"/>
        <v>3</v>
      </c>
      <c r="G161" s="27">
        <v>1</v>
      </c>
      <c r="H161" s="63"/>
      <c r="I161" s="19">
        <v>66137.399999999994</v>
      </c>
      <c r="J161" s="19">
        <v>500</v>
      </c>
      <c r="K161" s="19">
        <v>2806.87</v>
      </c>
      <c r="L161" s="20">
        <f t="shared" si="25"/>
        <v>9920.6099999999988</v>
      </c>
      <c r="M161" s="19">
        <f t="shared" si="26"/>
        <v>413.35874999999993</v>
      </c>
      <c r="N161" s="25">
        <f t="shared" si="27"/>
        <v>52909.919999999991</v>
      </c>
      <c r="O161" s="45" t="s">
        <v>53</v>
      </c>
      <c r="P161" s="22"/>
      <c r="Q161" s="23"/>
      <c r="R161" s="23"/>
      <c r="S161" s="18"/>
    </row>
    <row r="162" spans="1:19" ht="15" customHeight="1" x14ac:dyDescent="0.3">
      <c r="A162" s="22" t="s">
        <v>354</v>
      </c>
      <c r="B162" s="22"/>
      <c r="C162" s="8">
        <v>3</v>
      </c>
      <c r="D162" s="8">
        <v>2</v>
      </c>
      <c r="E162" s="27" t="s">
        <v>14</v>
      </c>
      <c r="F162" s="27">
        <f t="shared" si="28"/>
        <v>3</v>
      </c>
      <c r="G162" s="27">
        <v>1</v>
      </c>
      <c r="H162" s="63"/>
      <c r="I162" s="19">
        <v>66702.900000000009</v>
      </c>
      <c r="J162" s="19">
        <v>500</v>
      </c>
      <c r="K162" s="19">
        <v>2835.1450000000004</v>
      </c>
      <c r="L162" s="20">
        <f t="shared" si="25"/>
        <v>10005.435000000001</v>
      </c>
      <c r="M162" s="19">
        <f t="shared" si="26"/>
        <v>416.89312500000005</v>
      </c>
      <c r="N162" s="25">
        <f t="shared" si="27"/>
        <v>53362.320000000007</v>
      </c>
      <c r="O162" s="45" t="s">
        <v>53</v>
      </c>
      <c r="P162" s="22"/>
      <c r="Q162" s="23"/>
      <c r="R162" s="23"/>
      <c r="S162" s="18"/>
    </row>
    <row r="163" spans="1:19" ht="15" customHeight="1" x14ac:dyDescent="0.3">
      <c r="A163" s="22" t="s">
        <v>355</v>
      </c>
      <c r="B163" s="22"/>
      <c r="C163" s="8">
        <v>3</v>
      </c>
      <c r="D163" s="8">
        <v>2</v>
      </c>
      <c r="E163" s="27" t="s">
        <v>14</v>
      </c>
      <c r="F163" s="27">
        <f t="shared" si="28"/>
        <v>3</v>
      </c>
      <c r="G163" s="27">
        <v>1</v>
      </c>
      <c r="H163" s="63"/>
      <c r="I163" s="19">
        <v>66702.900000000009</v>
      </c>
      <c r="J163" s="19">
        <v>500</v>
      </c>
      <c r="K163" s="19">
        <v>2835.1450000000004</v>
      </c>
      <c r="L163" s="20">
        <f t="shared" si="25"/>
        <v>10005.435000000001</v>
      </c>
      <c r="M163" s="19">
        <f t="shared" si="26"/>
        <v>416.89312500000005</v>
      </c>
      <c r="N163" s="25">
        <f t="shared" si="27"/>
        <v>53362.320000000007</v>
      </c>
      <c r="O163" s="45" t="s">
        <v>53</v>
      </c>
      <c r="P163" s="22"/>
      <c r="Q163" s="23"/>
      <c r="R163" s="23"/>
      <c r="S163" s="18"/>
    </row>
    <row r="164" spans="1:19" ht="15" customHeight="1" x14ac:dyDescent="0.3">
      <c r="A164" s="22" t="s">
        <v>356</v>
      </c>
      <c r="B164" s="22" t="s">
        <v>193</v>
      </c>
      <c r="C164" s="8">
        <v>3</v>
      </c>
      <c r="D164" s="8">
        <v>2</v>
      </c>
      <c r="E164" s="27" t="s">
        <v>14</v>
      </c>
      <c r="F164" s="27">
        <f t="shared" si="28"/>
        <v>4</v>
      </c>
      <c r="G164" s="27">
        <v>1</v>
      </c>
      <c r="H164" s="63"/>
      <c r="I164" s="19">
        <v>75639.899999999994</v>
      </c>
      <c r="J164" s="19">
        <v>500</v>
      </c>
      <c r="K164" s="19">
        <v>3281.9949999999999</v>
      </c>
      <c r="L164" s="20">
        <f t="shared" si="25"/>
        <v>11345.984999999999</v>
      </c>
      <c r="M164" s="19">
        <f t="shared" si="26"/>
        <v>472.74937499999993</v>
      </c>
      <c r="N164" s="25">
        <f t="shared" si="27"/>
        <v>60511.92</v>
      </c>
      <c r="O164" s="45" t="s">
        <v>53</v>
      </c>
      <c r="P164" s="22"/>
      <c r="Q164" s="23"/>
      <c r="R164" s="23"/>
      <c r="S164" s="18"/>
    </row>
    <row r="165" spans="1:19" ht="15" customHeight="1" x14ac:dyDescent="0.3">
      <c r="A165" s="22" t="s">
        <v>357</v>
      </c>
      <c r="B165" s="22" t="s">
        <v>193</v>
      </c>
      <c r="C165" s="8">
        <v>3</v>
      </c>
      <c r="D165" s="8">
        <v>2</v>
      </c>
      <c r="E165" s="27" t="s">
        <v>14</v>
      </c>
      <c r="F165" s="27">
        <f t="shared" si="28"/>
        <v>4</v>
      </c>
      <c r="G165" s="27">
        <v>1</v>
      </c>
      <c r="H165" s="63"/>
      <c r="I165" s="19">
        <v>75639.899999999994</v>
      </c>
      <c r="J165" s="19">
        <v>500</v>
      </c>
      <c r="K165" s="19">
        <v>3281.9949999999999</v>
      </c>
      <c r="L165" s="20">
        <f t="shared" si="25"/>
        <v>11345.984999999999</v>
      </c>
      <c r="M165" s="19">
        <f t="shared" si="26"/>
        <v>472.74937499999993</v>
      </c>
      <c r="N165" s="25">
        <f t="shared" si="27"/>
        <v>60511.92</v>
      </c>
      <c r="O165" s="45" t="s">
        <v>53</v>
      </c>
      <c r="P165" s="22"/>
      <c r="Q165" s="23"/>
      <c r="R165" s="23"/>
      <c r="S165" s="18"/>
    </row>
    <row r="166" spans="1:19" ht="15" customHeight="1" x14ac:dyDescent="0.3">
      <c r="A166" s="22" t="s">
        <v>358</v>
      </c>
      <c r="B166" s="22" t="s">
        <v>194</v>
      </c>
      <c r="C166" s="8">
        <v>3</v>
      </c>
      <c r="D166" s="8">
        <v>2</v>
      </c>
      <c r="E166" s="27" t="s">
        <v>14</v>
      </c>
      <c r="F166" s="27">
        <f t="shared" si="28"/>
        <v>4</v>
      </c>
      <c r="G166" s="27">
        <v>1</v>
      </c>
      <c r="H166" s="63"/>
      <c r="I166" s="19">
        <v>76286.650000000009</v>
      </c>
      <c r="J166" s="19">
        <v>500</v>
      </c>
      <c r="K166" s="19">
        <v>3314.3325000000004</v>
      </c>
      <c r="L166" s="20">
        <f t="shared" si="25"/>
        <v>11442.997500000001</v>
      </c>
      <c r="M166" s="19">
        <f t="shared" si="26"/>
        <v>476.79156250000005</v>
      </c>
      <c r="N166" s="25">
        <f t="shared" si="27"/>
        <v>61029.320000000007</v>
      </c>
      <c r="O166" s="45" t="s">
        <v>53</v>
      </c>
      <c r="P166" s="22"/>
      <c r="Q166" s="23"/>
      <c r="R166" s="23"/>
      <c r="S166" s="18"/>
    </row>
    <row r="167" spans="1:19" ht="15" customHeight="1" x14ac:dyDescent="0.3">
      <c r="A167" s="22" t="s">
        <v>359</v>
      </c>
      <c r="B167" s="22" t="s">
        <v>194</v>
      </c>
      <c r="C167" s="8">
        <v>3</v>
      </c>
      <c r="D167" s="8">
        <v>2</v>
      </c>
      <c r="E167" s="27" t="s">
        <v>14</v>
      </c>
      <c r="F167" s="27">
        <f t="shared" si="28"/>
        <v>4</v>
      </c>
      <c r="G167" s="27">
        <v>1</v>
      </c>
      <c r="H167" s="63"/>
      <c r="I167" s="19">
        <v>76286.650000000009</v>
      </c>
      <c r="J167" s="19">
        <v>500</v>
      </c>
      <c r="K167" s="19">
        <v>3314.3325000000004</v>
      </c>
      <c r="L167" s="20">
        <f t="shared" si="25"/>
        <v>11442.997500000001</v>
      </c>
      <c r="M167" s="19">
        <f t="shared" si="26"/>
        <v>476.79156250000005</v>
      </c>
      <c r="N167" s="25">
        <f t="shared" si="27"/>
        <v>61029.320000000007</v>
      </c>
      <c r="O167" s="45" t="s">
        <v>53</v>
      </c>
      <c r="P167" s="22"/>
      <c r="Q167" s="23"/>
      <c r="R167" s="23"/>
      <c r="S167" s="18"/>
    </row>
    <row r="168" spans="1:19" ht="15" customHeight="1" x14ac:dyDescent="0.3">
      <c r="A168" s="22" t="s">
        <v>360</v>
      </c>
      <c r="B168" s="22"/>
      <c r="C168" s="8">
        <v>3</v>
      </c>
      <c r="D168" s="8">
        <v>2</v>
      </c>
      <c r="E168" s="27" t="s">
        <v>14</v>
      </c>
      <c r="F168" s="27">
        <v>1</v>
      </c>
      <c r="G168" s="27">
        <v>1</v>
      </c>
      <c r="H168" s="63"/>
      <c r="I168" s="19">
        <v>70318.5</v>
      </c>
      <c r="J168" s="19">
        <v>500</v>
      </c>
      <c r="K168" s="19">
        <v>3015.9250000000002</v>
      </c>
      <c r="L168" s="20">
        <f t="shared" si="25"/>
        <v>10547.775</v>
      </c>
      <c r="M168" s="19">
        <f t="shared" si="26"/>
        <v>439.49062499999997</v>
      </c>
      <c r="N168" s="25">
        <f t="shared" si="27"/>
        <v>56254.799999999996</v>
      </c>
      <c r="O168" s="45" t="s">
        <v>53</v>
      </c>
      <c r="P168" s="22"/>
      <c r="Q168" s="23"/>
      <c r="R168" s="23"/>
      <c r="S168" s="18"/>
    </row>
    <row r="169" spans="1:19" ht="15" customHeight="1" x14ac:dyDescent="0.3">
      <c r="A169" s="22" t="s">
        <v>361</v>
      </c>
      <c r="B169" s="22"/>
      <c r="C169" s="8">
        <v>3</v>
      </c>
      <c r="D169" s="8">
        <v>2</v>
      </c>
      <c r="E169" s="27" t="s">
        <v>14</v>
      </c>
      <c r="F169" s="27">
        <v>1</v>
      </c>
      <c r="G169" s="27">
        <v>1</v>
      </c>
      <c r="H169" s="63"/>
      <c r="I169" s="19">
        <v>70318.5</v>
      </c>
      <c r="J169" s="19">
        <v>500</v>
      </c>
      <c r="K169" s="19">
        <v>3015.9250000000002</v>
      </c>
      <c r="L169" s="20">
        <f t="shared" si="25"/>
        <v>10547.775</v>
      </c>
      <c r="M169" s="19">
        <f t="shared" si="26"/>
        <v>439.49062499999997</v>
      </c>
      <c r="N169" s="25">
        <f t="shared" si="27"/>
        <v>56254.799999999996</v>
      </c>
      <c r="O169" s="45" t="s">
        <v>53</v>
      </c>
      <c r="P169" s="22"/>
      <c r="Q169" s="23"/>
      <c r="R169" s="23"/>
      <c r="S169" s="18"/>
    </row>
    <row r="170" spans="1:19" ht="15" customHeight="1" x14ac:dyDescent="0.3">
      <c r="A170" s="22" t="s">
        <v>362</v>
      </c>
      <c r="B170" s="22"/>
      <c r="C170" s="8">
        <v>3</v>
      </c>
      <c r="D170" s="8">
        <v>2</v>
      </c>
      <c r="E170" s="27" t="s">
        <v>14</v>
      </c>
      <c r="F170" s="27">
        <v>1</v>
      </c>
      <c r="G170" s="27">
        <v>1</v>
      </c>
      <c r="H170" s="63"/>
      <c r="I170" s="19">
        <v>70919.75</v>
      </c>
      <c r="J170" s="19">
        <v>500</v>
      </c>
      <c r="K170" s="19">
        <v>3045.9875000000002</v>
      </c>
      <c r="L170" s="20">
        <f t="shared" si="25"/>
        <v>10637.9625</v>
      </c>
      <c r="M170" s="19">
        <f t="shared" si="26"/>
        <v>443.24843749999997</v>
      </c>
      <c r="N170" s="25">
        <f t="shared" si="27"/>
        <v>56735.799999999996</v>
      </c>
      <c r="O170" s="45" t="s">
        <v>53</v>
      </c>
      <c r="P170" s="22"/>
      <c r="Q170" s="23"/>
      <c r="R170" s="23"/>
      <c r="S170" s="18"/>
    </row>
    <row r="171" spans="1:19" ht="15" customHeight="1" x14ac:dyDescent="0.3">
      <c r="A171" s="22" t="s">
        <v>363</v>
      </c>
      <c r="B171" s="22"/>
      <c r="C171" s="8">
        <v>3</v>
      </c>
      <c r="D171" s="8">
        <v>2</v>
      </c>
      <c r="E171" s="27" t="s">
        <v>14</v>
      </c>
      <c r="F171" s="27">
        <v>1</v>
      </c>
      <c r="G171" s="27">
        <v>1</v>
      </c>
      <c r="H171" s="63"/>
      <c r="I171" s="19">
        <v>70919.75</v>
      </c>
      <c r="J171" s="19">
        <v>500</v>
      </c>
      <c r="K171" s="19">
        <v>3045.9875000000002</v>
      </c>
      <c r="L171" s="20">
        <f t="shared" si="25"/>
        <v>10637.9625</v>
      </c>
      <c r="M171" s="19">
        <f t="shared" si="26"/>
        <v>443.24843749999997</v>
      </c>
      <c r="N171" s="25">
        <f t="shared" si="27"/>
        <v>56735.799999999996</v>
      </c>
      <c r="O171" s="45" t="s">
        <v>53</v>
      </c>
      <c r="P171" s="22"/>
      <c r="Q171" s="23"/>
      <c r="R171" s="23"/>
      <c r="S171" s="18"/>
    </row>
    <row r="172" spans="1:19" ht="15" customHeight="1" x14ac:dyDescent="0.3">
      <c r="A172" s="22" t="s">
        <v>364</v>
      </c>
      <c r="B172" s="22"/>
      <c r="C172" s="8">
        <v>3</v>
      </c>
      <c r="D172" s="8">
        <v>2</v>
      </c>
      <c r="E172" s="27" t="s">
        <v>14</v>
      </c>
      <c r="F172" s="27">
        <f>F168+1</f>
        <v>2</v>
      </c>
      <c r="G172" s="27">
        <v>1</v>
      </c>
      <c r="H172" s="63"/>
      <c r="I172" s="19">
        <v>69938.399999999994</v>
      </c>
      <c r="J172" s="19">
        <v>500</v>
      </c>
      <c r="K172" s="19">
        <v>2996.92</v>
      </c>
      <c r="L172" s="20">
        <f t="shared" si="25"/>
        <v>10490.759999999998</v>
      </c>
      <c r="M172" s="19">
        <f t="shared" si="26"/>
        <v>437.11499999999995</v>
      </c>
      <c r="N172" s="25">
        <f t="shared" si="27"/>
        <v>55950.720000000001</v>
      </c>
      <c r="O172" s="45" t="s">
        <v>53</v>
      </c>
      <c r="P172" s="22"/>
      <c r="Q172" s="23"/>
      <c r="R172" s="23"/>
      <c r="S172" s="18"/>
    </row>
    <row r="173" spans="1:19" ht="15" customHeight="1" x14ac:dyDescent="0.3">
      <c r="A173" s="22" t="s">
        <v>365</v>
      </c>
      <c r="B173" s="22"/>
      <c r="C173" s="8">
        <v>3</v>
      </c>
      <c r="D173" s="8">
        <v>2</v>
      </c>
      <c r="E173" s="27" t="s">
        <v>14</v>
      </c>
      <c r="F173" s="27">
        <f t="shared" ref="F173:F183" si="29">F169+1</f>
        <v>2</v>
      </c>
      <c r="G173" s="27">
        <v>1</v>
      </c>
      <c r="H173" s="63"/>
      <c r="I173" s="19">
        <v>69938.399999999994</v>
      </c>
      <c r="J173" s="19">
        <v>500</v>
      </c>
      <c r="K173" s="19">
        <v>2996.92</v>
      </c>
      <c r="L173" s="20">
        <f t="shared" si="25"/>
        <v>10490.759999999998</v>
      </c>
      <c r="M173" s="19">
        <f t="shared" si="26"/>
        <v>437.11499999999995</v>
      </c>
      <c r="N173" s="25">
        <f t="shared" si="27"/>
        <v>55950.720000000001</v>
      </c>
      <c r="O173" s="45" t="s">
        <v>53</v>
      </c>
      <c r="P173" s="22"/>
      <c r="Q173" s="23"/>
      <c r="R173" s="23"/>
      <c r="S173" s="18"/>
    </row>
    <row r="174" spans="1:19" ht="15" customHeight="1" x14ac:dyDescent="0.3">
      <c r="A174" s="22" t="s">
        <v>366</v>
      </c>
      <c r="B174" s="22"/>
      <c r="C174" s="8">
        <v>3</v>
      </c>
      <c r="D174" s="8">
        <v>2</v>
      </c>
      <c r="E174" s="27" t="s">
        <v>14</v>
      </c>
      <c r="F174" s="27">
        <f t="shared" si="29"/>
        <v>2</v>
      </c>
      <c r="G174" s="27">
        <v>1</v>
      </c>
      <c r="H174" s="63"/>
      <c r="I174" s="19">
        <v>70536.400000000009</v>
      </c>
      <c r="J174" s="19">
        <v>500</v>
      </c>
      <c r="K174" s="19">
        <v>3026.8200000000006</v>
      </c>
      <c r="L174" s="20">
        <f t="shared" si="25"/>
        <v>10580.460000000001</v>
      </c>
      <c r="M174" s="19">
        <f t="shared" si="26"/>
        <v>440.85250000000002</v>
      </c>
      <c r="N174" s="25">
        <f t="shared" si="27"/>
        <v>56429.120000000003</v>
      </c>
      <c r="O174" s="45" t="s">
        <v>53</v>
      </c>
      <c r="P174" s="22"/>
      <c r="Q174" s="23"/>
      <c r="R174" s="23"/>
      <c r="S174" s="18"/>
    </row>
    <row r="175" spans="1:19" ht="15" customHeight="1" x14ac:dyDescent="0.3">
      <c r="A175" s="22" t="s">
        <v>367</v>
      </c>
      <c r="B175" s="22"/>
      <c r="C175" s="8">
        <v>3</v>
      </c>
      <c r="D175" s="8">
        <v>2</v>
      </c>
      <c r="E175" s="27" t="s">
        <v>14</v>
      </c>
      <c r="F175" s="27">
        <f t="shared" si="29"/>
        <v>2</v>
      </c>
      <c r="G175" s="27">
        <v>1</v>
      </c>
      <c r="H175" s="63"/>
      <c r="I175" s="19">
        <v>70536.400000000009</v>
      </c>
      <c r="J175" s="19">
        <v>500</v>
      </c>
      <c r="K175" s="19">
        <v>3026.8200000000006</v>
      </c>
      <c r="L175" s="20">
        <f t="shared" si="25"/>
        <v>10580.460000000001</v>
      </c>
      <c r="M175" s="19">
        <f t="shared" si="26"/>
        <v>440.85250000000002</v>
      </c>
      <c r="N175" s="25">
        <f t="shared" si="27"/>
        <v>56429.120000000003</v>
      </c>
      <c r="O175" s="45" t="s">
        <v>53</v>
      </c>
      <c r="P175" s="22"/>
      <c r="Q175" s="23"/>
      <c r="R175" s="23"/>
      <c r="S175" s="18"/>
    </row>
    <row r="176" spans="1:19" ht="15" customHeight="1" x14ac:dyDescent="0.3">
      <c r="A176" s="22" t="s">
        <v>368</v>
      </c>
      <c r="B176" s="22"/>
      <c r="C176" s="8">
        <v>3</v>
      </c>
      <c r="D176" s="8">
        <v>2</v>
      </c>
      <c r="E176" s="27" t="s">
        <v>14</v>
      </c>
      <c r="F176" s="27">
        <f t="shared" si="29"/>
        <v>3</v>
      </c>
      <c r="G176" s="27">
        <v>1</v>
      </c>
      <c r="H176" s="63"/>
      <c r="I176" s="19">
        <v>66137.399999999994</v>
      </c>
      <c r="J176" s="19">
        <v>500</v>
      </c>
      <c r="K176" s="19">
        <v>2806.87</v>
      </c>
      <c r="L176" s="20">
        <f t="shared" si="25"/>
        <v>9920.6099999999988</v>
      </c>
      <c r="M176" s="19">
        <f t="shared" si="26"/>
        <v>413.35874999999993</v>
      </c>
      <c r="N176" s="25">
        <f t="shared" si="27"/>
        <v>52909.919999999991</v>
      </c>
      <c r="O176" s="45" t="s">
        <v>53</v>
      </c>
      <c r="P176" s="22"/>
      <c r="Q176" s="23"/>
      <c r="R176" s="23"/>
      <c r="S176" s="18"/>
    </row>
    <row r="177" spans="1:19" ht="15" customHeight="1" x14ac:dyDescent="0.3">
      <c r="A177" s="22" t="s">
        <v>369</v>
      </c>
      <c r="B177" s="22"/>
      <c r="C177" s="8">
        <v>3</v>
      </c>
      <c r="D177" s="8">
        <v>2</v>
      </c>
      <c r="E177" s="27" t="s">
        <v>14</v>
      </c>
      <c r="F177" s="27">
        <f t="shared" si="29"/>
        <v>3</v>
      </c>
      <c r="G177" s="27">
        <v>1</v>
      </c>
      <c r="H177" s="63"/>
      <c r="I177" s="19">
        <v>66137.399999999994</v>
      </c>
      <c r="J177" s="19">
        <v>500</v>
      </c>
      <c r="K177" s="19">
        <v>2806.87</v>
      </c>
      <c r="L177" s="20">
        <f t="shared" si="25"/>
        <v>9920.6099999999988</v>
      </c>
      <c r="M177" s="19">
        <f t="shared" si="26"/>
        <v>413.35874999999993</v>
      </c>
      <c r="N177" s="25">
        <f t="shared" si="27"/>
        <v>52909.919999999991</v>
      </c>
      <c r="O177" s="45" t="s">
        <v>53</v>
      </c>
      <c r="P177" s="22"/>
      <c r="Q177" s="23"/>
      <c r="R177" s="23"/>
      <c r="S177" s="18"/>
    </row>
    <row r="178" spans="1:19" ht="15" customHeight="1" x14ac:dyDescent="0.3">
      <c r="A178" s="22" t="s">
        <v>370</v>
      </c>
      <c r="B178" s="22"/>
      <c r="C178" s="8">
        <v>3</v>
      </c>
      <c r="D178" s="8">
        <v>2</v>
      </c>
      <c r="E178" s="27" t="s">
        <v>14</v>
      </c>
      <c r="F178" s="27">
        <f t="shared" si="29"/>
        <v>3</v>
      </c>
      <c r="G178" s="27">
        <v>1</v>
      </c>
      <c r="H178" s="63"/>
      <c r="I178" s="19">
        <v>66702.900000000009</v>
      </c>
      <c r="J178" s="19">
        <v>500</v>
      </c>
      <c r="K178" s="19">
        <v>2835.1450000000004</v>
      </c>
      <c r="L178" s="20">
        <f t="shared" si="25"/>
        <v>10005.435000000001</v>
      </c>
      <c r="M178" s="19">
        <f t="shared" si="26"/>
        <v>416.89312500000005</v>
      </c>
      <c r="N178" s="25">
        <f t="shared" si="27"/>
        <v>53362.320000000007</v>
      </c>
      <c r="O178" s="45" t="s">
        <v>53</v>
      </c>
      <c r="P178" s="22"/>
      <c r="Q178" s="23"/>
      <c r="R178" s="23"/>
      <c r="S178" s="18"/>
    </row>
    <row r="179" spans="1:19" ht="15" customHeight="1" x14ac:dyDescent="0.3">
      <c r="A179" s="22" t="s">
        <v>371</v>
      </c>
      <c r="B179" s="22"/>
      <c r="C179" s="8">
        <v>3</v>
      </c>
      <c r="D179" s="8">
        <v>2</v>
      </c>
      <c r="E179" s="27" t="s">
        <v>14</v>
      </c>
      <c r="F179" s="27">
        <f t="shared" si="29"/>
        <v>3</v>
      </c>
      <c r="G179" s="27">
        <v>1</v>
      </c>
      <c r="H179" s="63"/>
      <c r="I179" s="19">
        <v>66702.900000000009</v>
      </c>
      <c r="J179" s="19">
        <v>500</v>
      </c>
      <c r="K179" s="19">
        <v>2835.1450000000004</v>
      </c>
      <c r="L179" s="20">
        <f t="shared" si="25"/>
        <v>10005.435000000001</v>
      </c>
      <c r="M179" s="19">
        <f t="shared" si="26"/>
        <v>416.89312500000005</v>
      </c>
      <c r="N179" s="25">
        <f t="shared" si="27"/>
        <v>53362.320000000007</v>
      </c>
      <c r="O179" s="45" t="s">
        <v>53</v>
      </c>
      <c r="P179" s="22"/>
      <c r="Q179" s="23"/>
      <c r="R179" s="23"/>
      <c r="S179" s="18"/>
    </row>
    <row r="180" spans="1:19" ht="15" customHeight="1" x14ac:dyDescent="0.3">
      <c r="A180" s="22" t="s">
        <v>372</v>
      </c>
      <c r="B180" s="22" t="s">
        <v>193</v>
      </c>
      <c r="C180" s="8">
        <v>3</v>
      </c>
      <c r="D180" s="8">
        <v>2</v>
      </c>
      <c r="E180" s="27" t="s">
        <v>14</v>
      </c>
      <c r="F180" s="27">
        <f t="shared" si="29"/>
        <v>4</v>
      </c>
      <c r="G180" s="27">
        <v>1</v>
      </c>
      <c r="H180" s="63"/>
      <c r="I180" s="19">
        <v>75639.899999999994</v>
      </c>
      <c r="J180" s="19">
        <v>500</v>
      </c>
      <c r="K180" s="19">
        <v>3281.9949999999999</v>
      </c>
      <c r="L180" s="20">
        <f t="shared" si="25"/>
        <v>11345.984999999999</v>
      </c>
      <c r="M180" s="19">
        <f t="shared" si="26"/>
        <v>472.74937499999993</v>
      </c>
      <c r="N180" s="25">
        <f t="shared" si="27"/>
        <v>60511.92</v>
      </c>
      <c r="O180" s="45" t="s">
        <v>53</v>
      </c>
      <c r="P180" s="22"/>
      <c r="Q180" s="23"/>
      <c r="R180" s="23"/>
      <c r="S180" s="18"/>
    </row>
    <row r="181" spans="1:19" ht="15" customHeight="1" x14ac:dyDescent="0.3">
      <c r="A181" s="22" t="s">
        <v>373</v>
      </c>
      <c r="B181" s="22" t="s">
        <v>193</v>
      </c>
      <c r="C181" s="8">
        <v>3</v>
      </c>
      <c r="D181" s="8">
        <v>2</v>
      </c>
      <c r="E181" s="27" t="s">
        <v>14</v>
      </c>
      <c r="F181" s="27">
        <f t="shared" si="29"/>
        <v>4</v>
      </c>
      <c r="G181" s="27">
        <v>1</v>
      </c>
      <c r="H181" s="63"/>
      <c r="I181" s="19">
        <v>75639.899999999994</v>
      </c>
      <c r="J181" s="19">
        <v>500</v>
      </c>
      <c r="K181" s="19">
        <v>3281.9949999999999</v>
      </c>
      <c r="L181" s="20">
        <f t="shared" si="25"/>
        <v>11345.984999999999</v>
      </c>
      <c r="M181" s="19">
        <f t="shared" si="26"/>
        <v>472.74937499999993</v>
      </c>
      <c r="N181" s="25">
        <f t="shared" si="27"/>
        <v>60511.92</v>
      </c>
      <c r="O181" s="45" t="s">
        <v>53</v>
      </c>
      <c r="P181" s="22"/>
      <c r="Q181" s="23"/>
      <c r="R181" s="23"/>
      <c r="S181" s="18"/>
    </row>
    <row r="182" spans="1:19" ht="15" customHeight="1" x14ac:dyDescent="0.3">
      <c r="A182" s="22" t="s">
        <v>374</v>
      </c>
      <c r="B182" s="22" t="s">
        <v>194</v>
      </c>
      <c r="C182" s="8">
        <v>3</v>
      </c>
      <c r="D182" s="8">
        <v>2</v>
      </c>
      <c r="E182" s="27" t="s">
        <v>14</v>
      </c>
      <c r="F182" s="27">
        <f t="shared" si="29"/>
        <v>4</v>
      </c>
      <c r="G182" s="27">
        <v>1</v>
      </c>
      <c r="H182" s="63"/>
      <c r="I182" s="19">
        <v>76286.650000000009</v>
      </c>
      <c r="J182" s="19">
        <v>500</v>
      </c>
      <c r="K182" s="19">
        <v>3314.3325000000004</v>
      </c>
      <c r="L182" s="20">
        <f t="shared" si="25"/>
        <v>11442.997500000001</v>
      </c>
      <c r="M182" s="19">
        <f t="shared" si="26"/>
        <v>476.79156250000005</v>
      </c>
      <c r="N182" s="25">
        <f t="shared" si="27"/>
        <v>61029.320000000007</v>
      </c>
      <c r="O182" s="45" t="s">
        <v>53</v>
      </c>
      <c r="P182" s="22"/>
      <c r="Q182" s="23"/>
      <c r="R182" s="23"/>
      <c r="S182" s="18"/>
    </row>
    <row r="183" spans="1:19" ht="15" customHeight="1" x14ac:dyDescent="0.3">
      <c r="A183" s="22" t="s">
        <v>375</v>
      </c>
      <c r="B183" s="22" t="s">
        <v>194</v>
      </c>
      <c r="C183" s="8">
        <v>3</v>
      </c>
      <c r="D183" s="8">
        <v>2</v>
      </c>
      <c r="E183" s="27" t="s">
        <v>14</v>
      </c>
      <c r="F183" s="27">
        <f t="shared" si="29"/>
        <v>4</v>
      </c>
      <c r="G183" s="27">
        <v>1</v>
      </c>
      <c r="H183" s="63"/>
      <c r="I183" s="19">
        <v>76286.650000000009</v>
      </c>
      <c r="J183" s="19">
        <v>500</v>
      </c>
      <c r="K183" s="19">
        <v>3314.3325000000004</v>
      </c>
      <c r="L183" s="20">
        <f t="shared" si="25"/>
        <v>11442.997500000001</v>
      </c>
      <c r="M183" s="19">
        <f t="shared" si="26"/>
        <v>476.79156250000005</v>
      </c>
      <c r="N183" s="25">
        <f t="shared" si="27"/>
        <v>61029.320000000007</v>
      </c>
      <c r="O183" s="45" t="s">
        <v>53</v>
      </c>
      <c r="P183" s="22"/>
      <c r="Q183" s="23"/>
      <c r="R183" s="23"/>
      <c r="S183" s="18"/>
    </row>
  </sheetData>
  <sheetProtection formatCells="0" formatColumns="0" formatRows="0"/>
  <protectedRanges>
    <protectedRange sqref="H1:H1048576" name="Rango1"/>
    <protectedRange sqref="P34 S34 S156:S1048576 O184:R1048576 S91 P155:R183 P152:S154 O152:O183 O7:O107 P7:S33 P35:S90 P92:S107 O108:S151 O1:S6" name="Rango2"/>
  </protectedRanges>
  <autoFilter ref="C7:S183" xr:uid="{8ADFD9AA-986F-473C-96BF-9EF30E296791}"/>
  <conditionalFormatting sqref="O8:O31 O72:O88">
    <cfRule type="containsText" dxfId="22" priority="31" operator="containsText" text="NO DISPONIBLE">
      <formula>NOT(ISERROR(SEARCH("NO DISPONIBLE",O8)))</formula>
    </cfRule>
    <cfRule type="containsText" dxfId="21" priority="32" operator="containsText" text="BLOQUEADO">
      <formula>NOT(ISERROR(SEARCH("BLOQUEADO",O8)))</formula>
    </cfRule>
    <cfRule type="containsText" dxfId="20" priority="33" operator="containsText" text="DISPONIBLE">
      <formula>NOT(ISERROR(SEARCH("DISPONIBLE",O8)))</formula>
    </cfRule>
  </conditionalFormatting>
  <conditionalFormatting sqref="O32 O46:O48 O35:O36 O38:O44 O50:O55">
    <cfRule type="beginsWith" dxfId="19" priority="22" operator="beginsWith" text="DISPONIBLE">
      <formula>LEFT(O32,LEN("DISPONIBLE"))="DISPONIBLE"</formula>
    </cfRule>
    <cfRule type="containsText" dxfId="18" priority="23" operator="containsText" text="BLOQUEADO">
      <formula>NOT(ISERROR(SEARCH("BLOQUEADO",O32)))</formula>
    </cfRule>
    <cfRule type="beginsWith" dxfId="17" priority="24" operator="beginsWith" text="NO DISPONIBLE">
      <formula>LEFT(O32,LEN("NO DISPONIBLE"))="NO DISPONIBLE"</formula>
    </cfRule>
  </conditionalFormatting>
  <conditionalFormatting sqref="O89 O91:O93 O95:O96 O98:O101 O103:O105 O107:O108 O110:O112 O114:O118 O121:O123 O126:O183">
    <cfRule type="beginsWith" dxfId="16" priority="15" operator="beginsWith" text="DISPONIBLE">
      <formula>LEFT(O89,LEN("DISPONIBLE"))="DISPONIBLE"</formula>
    </cfRule>
    <cfRule type="containsText" dxfId="15" priority="16" operator="containsText" text="BLOQUEADO">
      <formula>NOT(ISERROR(SEARCH("BLOQUEADO",O89)))</formula>
    </cfRule>
    <cfRule type="beginsWith" dxfId="14" priority="17" operator="beginsWith" text="NO DISPONIBLE">
      <formula>LEFT(O89,LEN("NO DISPONIBLE"))="NO DISPONIBLE"</formula>
    </cfRule>
  </conditionalFormatting>
  <conditionalFormatting sqref="R8:R33">
    <cfRule type="timePeriod" dxfId="13" priority="10" timePeriod="today">
      <formula>FLOOR(R8,1)=TODAY()</formula>
    </cfRule>
  </conditionalFormatting>
  <conditionalFormatting sqref="R35:R39 R88:R90 R93:R99">
    <cfRule type="timePeriod" dxfId="12" priority="34" timePeriod="today">
      <formula>FLOOR(R35,1)=TODAY()</formula>
    </cfRule>
  </conditionalFormatting>
  <conditionalFormatting sqref="R45">
    <cfRule type="timePeriod" dxfId="11" priority="14" timePeriod="today">
      <formula>FLOOR(R45,1)=TODAY()</formula>
    </cfRule>
  </conditionalFormatting>
  <conditionalFormatting sqref="R49">
    <cfRule type="timePeriod" dxfId="10" priority="18" timePeriod="today">
      <formula>FLOOR(R49,1)=TODAY()</formula>
    </cfRule>
  </conditionalFormatting>
  <conditionalFormatting sqref="R72:R86">
    <cfRule type="timePeriod" dxfId="9" priority="11" timePeriod="today">
      <formula>FLOOR(R72,1)=TODAY()</formula>
    </cfRule>
  </conditionalFormatting>
  <conditionalFormatting sqref="O56:O71">
    <cfRule type="beginsWith" dxfId="8" priority="7" operator="beginsWith" text="DISPONIBLE">
      <formula>LEFT(O56,LEN("DISPONIBLE"))="DISPONIBLE"</formula>
    </cfRule>
    <cfRule type="containsText" dxfId="7" priority="8" operator="containsText" text="BLOQUEADO">
      <formula>NOT(ISERROR(SEARCH("BLOQUEADO",O56)))</formula>
    </cfRule>
    <cfRule type="beginsWith" dxfId="6" priority="9" operator="beginsWith" text="NO DISPONIBLE">
      <formula>LEFT(O56,LEN("NO DISPONIBLE"))="NO DISPONIBLE"</formula>
    </cfRule>
  </conditionalFormatting>
  <conditionalFormatting sqref="O45">
    <cfRule type="containsText" dxfId="5" priority="4" operator="containsText" text="NO DISPONIBLE">
      <formula>NOT(ISERROR(SEARCH("NO DISPONIBLE",O45)))</formula>
    </cfRule>
    <cfRule type="containsText" dxfId="4" priority="5" operator="containsText" text="BLOQUEADO">
      <formula>NOT(ISERROR(SEARCH("BLOQUEADO",O45)))</formula>
    </cfRule>
    <cfRule type="containsText" dxfId="3" priority="6" operator="containsText" text="DISPONIBLE">
      <formula>NOT(ISERROR(SEARCH("DISPONIBLE",O45)))</formula>
    </cfRule>
  </conditionalFormatting>
  <conditionalFormatting sqref="O124:O125 O119:O120 O113 O109 O106 O102 O97 O94 O90 O49 O37 O33:O34">
    <cfRule type="containsText" dxfId="2" priority="1" operator="containsText" text="NO DISPONIBLE">
      <formula>NOT(ISERROR(SEARCH("NO DISPONIBLE",O33)))</formula>
    </cfRule>
    <cfRule type="containsText" dxfId="1" priority="2" operator="containsText" text="BLOQUEADO">
      <formula>NOT(ISERROR(SEARCH("BLOQUEADO",O33)))</formula>
    </cfRule>
    <cfRule type="containsText" dxfId="0" priority="3" operator="containsText" text="DISPONIBLE">
      <formula>NOT(ISERROR(SEARCH("DISPONIBLE",O33)))</formula>
    </cfRule>
  </conditionalFormatting>
  <pageMargins left="0.7" right="0.7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 ETAPA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 Lopez</dc:creator>
  <cp:keywords/>
  <dc:description/>
  <cp:lastModifiedBy>Diana Reyes</cp:lastModifiedBy>
  <cp:revision/>
  <dcterms:created xsi:type="dcterms:W3CDTF">2026-02-11T20:43:50Z</dcterms:created>
  <dcterms:modified xsi:type="dcterms:W3CDTF">2026-04-29T16:24:36Z</dcterms:modified>
  <cp:category/>
  <cp:contentStatus/>
</cp:coreProperties>
</file>