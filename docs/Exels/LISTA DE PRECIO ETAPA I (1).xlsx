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/>
  <mc:AlternateContent xmlns:mc="http://schemas.openxmlformats.org/markup-compatibility/2006">
    <mc:Choice Requires="x15">
      <x15ac:absPath xmlns:x15ac="http://schemas.microsoft.com/office/spreadsheetml/2010/11/ac" url="C:\Users\Diana\Downloads\"/>
    </mc:Choice>
  </mc:AlternateContent>
  <xr:revisionPtr revIDLastSave="0" documentId="13_ncr:1_{8AFC8877-0F2F-44C9-80A4-1F0D5AA9B33D}" xr6:coauthVersionLast="47" xr6:coauthVersionMax="47" xr10:uidLastSave="{00000000-0000-0000-0000-000000000000}"/>
  <bookViews>
    <workbookView xWindow="-19310" yWindow="-90" windowWidth="19420" windowHeight="10300" xr2:uid="{B7F448DB-4C51-4E17-B842-FD34CE66EB2A}"/>
  </bookViews>
  <sheets>
    <sheet name="LISTA DE PRECIOS ETAPA 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5" i="1" l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N130" i="1"/>
  <c r="K129" i="1"/>
  <c r="L129" i="1" s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K122" i="1"/>
  <c r="L122" i="1" s="1"/>
  <c r="K121" i="1"/>
  <c r="L121" i="1" s="1"/>
  <c r="G121" i="1"/>
  <c r="G125" i="1" s="1"/>
  <c r="G129" i="1" s="1"/>
  <c r="K120" i="1"/>
  <c r="L120" i="1" s="1"/>
  <c r="G120" i="1"/>
  <c r="G124" i="1" s="1"/>
  <c r="G128" i="1" s="1"/>
  <c r="K119" i="1"/>
  <c r="L119" i="1" s="1"/>
  <c r="G119" i="1"/>
  <c r="G123" i="1" s="1"/>
  <c r="G127" i="1" s="1"/>
  <c r="K118" i="1"/>
  <c r="L118" i="1" s="1"/>
  <c r="G118" i="1"/>
  <c r="G122" i="1" s="1"/>
  <c r="G126" i="1" s="1"/>
  <c r="K117" i="1"/>
  <c r="L117" i="1" s="1"/>
  <c r="K116" i="1"/>
  <c r="L116" i="1" s="1"/>
  <c r="K115" i="1"/>
  <c r="L115" i="1" s="1"/>
  <c r="K114" i="1"/>
  <c r="L114" i="1" s="1"/>
  <c r="K113" i="1"/>
  <c r="M113" i="1" s="1"/>
  <c r="K112" i="1"/>
  <c r="M112" i="1" s="1"/>
  <c r="K111" i="1"/>
  <c r="M111" i="1" s="1"/>
  <c r="K110" i="1"/>
  <c r="M110" i="1" s="1"/>
  <c r="K109" i="1"/>
  <c r="M109" i="1" s="1"/>
  <c r="K108" i="1"/>
  <c r="M108" i="1" s="1"/>
  <c r="K107" i="1"/>
  <c r="M107" i="1" s="1"/>
  <c r="K106" i="1"/>
  <c r="M106" i="1" s="1"/>
  <c r="K105" i="1"/>
  <c r="M105" i="1" s="1"/>
  <c r="G105" i="1"/>
  <c r="G109" i="1" s="1"/>
  <c r="G113" i="1" s="1"/>
  <c r="B105" i="1"/>
  <c r="B109" i="1" s="1"/>
  <c r="B113" i="1" s="1"/>
  <c r="K104" i="1"/>
  <c r="M104" i="1" s="1"/>
  <c r="G104" i="1"/>
  <c r="G108" i="1" s="1"/>
  <c r="G112" i="1" s="1"/>
  <c r="B104" i="1"/>
  <c r="B108" i="1" s="1"/>
  <c r="B112" i="1" s="1"/>
  <c r="K103" i="1"/>
  <c r="M103" i="1" s="1"/>
  <c r="G103" i="1"/>
  <c r="G107" i="1" s="1"/>
  <c r="G111" i="1" s="1"/>
  <c r="B103" i="1"/>
  <c r="B107" i="1" s="1"/>
  <c r="B111" i="1" s="1"/>
  <c r="K102" i="1"/>
  <c r="M102" i="1" s="1"/>
  <c r="G102" i="1"/>
  <c r="G106" i="1" s="1"/>
  <c r="G110" i="1" s="1"/>
  <c r="B102" i="1"/>
  <c r="B106" i="1" s="1"/>
  <c r="B110" i="1" s="1"/>
  <c r="K101" i="1"/>
  <c r="M101" i="1" s="1"/>
  <c r="K100" i="1"/>
  <c r="M100" i="1" s="1"/>
  <c r="K99" i="1"/>
  <c r="M99" i="1" s="1"/>
  <c r="K98" i="1"/>
  <c r="M98" i="1" s="1"/>
  <c r="K97" i="1"/>
  <c r="M97" i="1" s="1"/>
  <c r="K96" i="1"/>
  <c r="M96" i="1" s="1"/>
  <c r="K95" i="1"/>
  <c r="M95" i="1" s="1"/>
  <c r="K94" i="1"/>
  <c r="M94" i="1" s="1"/>
  <c r="K93" i="1"/>
  <c r="M93" i="1" s="1"/>
  <c r="K92" i="1"/>
  <c r="M92" i="1" s="1"/>
  <c r="K91" i="1"/>
  <c r="M91" i="1" s="1"/>
  <c r="K90" i="1"/>
  <c r="M90" i="1" s="1"/>
  <c r="K89" i="1"/>
  <c r="M89" i="1" s="1"/>
  <c r="G89" i="1"/>
  <c r="G93" i="1" s="1"/>
  <c r="G97" i="1" s="1"/>
  <c r="B89" i="1"/>
  <c r="B93" i="1" s="1"/>
  <c r="B97" i="1" s="1"/>
  <c r="K88" i="1"/>
  <c r="M88" i="1" s="1"/>
  <c r="G88" i="1"/>
  <c r="G92" i="1" s="1"/>
  <c r="G96" i="1" s="1"/>
  <c r="B88" i="1"/>
  <c r="B92" i="1" s="1"/>
  <c r="B96" i="1" s="1"/>
  <c r="K87" i="1"/>
  <c r="M87" i="1" s="1"/>
  <c r="G87" i="1"/>
  <c r="G91" i="1" s="1"/>
  <c r="G95" i="1" s="1"/>
  <c r="B87" i="1"/>
  <c r="B91" i="1" s="1"/>
  <c r="B95" i="1" s="1"/>
  <c r="K86" i="1"/>
  <c r="M86" i="1" s="1"/>
  <c r="G86" i="1"/>
  <c r="G90" i="1" s="1"/>
  <c r="G94" i="1" s="1"/>
  <c r="B86" i="1"/>
  <c r="B90" i="1" s="1"/>
  <c r="B94" i="1" s="1"/>
  <c r="K85" i="1"/>
  <c r="M85" i="1" s="1"/>
  <c r="K84" i="1"/>
  <c r="M84" i="1" s="1"/>
  <c r="K83" i="1"/>
  <c r="M83" i="1" s="1"/>
  <c r="K82" i="1"/>
  <c r="M82" i="1" s="1"/>
  <c r="K49" i="1"/>
  <c r="M49" i="1" s="1"/>
  <c r="K48" i="1"/>
  <c r="M48" i="1" s="1"/>
  <c r="K47" i="1"/>
  <c r="M47" i="1" s="1"/>
  <c r="K46" i="1"/>
  <c r="M46" i="1" s="1"/>
  <c r="K45" i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M37" i="1" s="1"/>
  <c r="K36" i="1"/>
  <c r="M36" i="1" s="1"/>
  <c r="K35" i="1"/>
  <c r="M35" i="1" s="1"/>
  <c r="K34" i="1"/>
  <c r="M34" i="1" s="1"/>
  <c r="K81" i="1"/>
  <c r="M81" i="1" s="1"/>
  <c r="K80" i="1"/>
  <c r="M80" i="1" s="1"/>
  <c r="K79" i="1"/>
  <c r="M79" i="1" s="1"/>
  <c r="K78" i="1"/>
  <c r="M78" i="1" s="1"/>
  <c r="K77" i="1"/>
  <c r="M77" i="1" s="1"/>
  <c r="K76" i="1"/>
  <c r="M76" i="1" s="1"/>
  <c r="K75" i="1"/>
  <c r="M75" i="1" s="1"/>
  <c r="K74" i="1"/>
  <c r="M74" i="1" s="1"/>
  <c r="K73" i="1"/>
  <c r="M73" i="1" s="1"/>
  <c r="K72" i="1"/>
  <c r="M72" i="1" s="1"/>
  <c r="K71" i="1"/>
  <c r="M71" i="1" s="1"/>
  <c r="K70" i="1"/>
  <c r="M70" i="1" s="1"/>
  <c r="K69" i="1"/>
  <c r="M69" i="1" s="1"/>
  <c r="K68" i="1"/>
  <c r="M68" i="1" s="1"/>
  <c r="K67" i="1"/>
  <c r="M67" i="1" s="1"/>
  <c r="K66" i="1"/>
  <c r="M66" i="1" s="1"/>
  <c r="G73" i="1"/>
  <c r="G77" i="1" s="1"/>
  <c r="G81" i="1" s="1"/>
  <c r="B73" i="1"/>
  <c r="B77" i="1" s="1"/>
  <c r="B81" i="1" s="1"/>
  <c r="G72" i="1"/>
  <c r="G76" i="1" s="1"/>
  <c r="G80" i="1" s="1"/>
  <c r="B72" i="1"/>
  <c r="B76" i="1" s="1"/>
  <c r="B80" i="1" s="1"/>
  <c r="G71" i="1"/>
  <c r="G75" i="1" s="1"/>
  <c r="G79" i="1" s="1"/>
  <c r="B71" i="1"/>
  <c r="B75" i="1" s="1"/>
  <c r="B79" i="1" s="1"/>
  <c r="G70" i="1"/>
  <c r="G74" i="1" s="1"/>
  <c r="G78" i="1" s="1"/>
  <c r="B70" i="1"/>
  <c r="B74" i="1" s="1"/>
  <c r="B78" i="1" s="1"/>
  <c r="K33" i="1"/>
  <c r="M33" i="1" s="1"/>
  <c r="K32" i="1"/>
  <c r="M32" i="1" s="1"/>
  <c r="K31" i="1"/>
  <c r="M31" i="1" s="1"/>
  <c r="K30" i="1"/>
  <c r="M30" i="1" s="1"/>
  <c r="K29" i="1"/>
  <c r="M29" i="1" s="1"/>
  <c r="K28" i="1"/>
  <c r="M28" i="1" s="1"/>
  <c r="K27" i="1"/>
  <c r="M27" i="1" s="1"/>
  <c r="K26" i="1"/>
  <c r="M26" i="1" s="1"/>
  <c r="M119" i="1" l="1"/>
  <c r="M120" i="1"/>
  <c r="M127" i="1"/>
  <c r="M114" i="1"/>
  <c r="M122" i="1"/>
  <c r="M115" i="1"/>
  <c r="M123" i="1"/>
  <c r="M116" i="1"/>
  <c r="M124" i="1"/>
  <c r="M117" i="1"/>
  <c r="M125" i="1"/>
  <c r="M118" i="1"/>
  <c r="M126" i="1"/>
  <c r="M128" i="1"/>
  <c r="M121" i="1"/>
  <c r="M129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26" i="1"/>
  <c r="L27" i="1"/>
  <c r="L28" i="1"/>
  <c r="L29" i="1"/>
  <c r="L30" i="1"/>
  <c r="L31" i="1"/>
  <c r="L32" i="1"/>
  <c r="L33" i="1"/>
  <c r="M130" i="1" l="1"/>
</calcChain>
</file>

<file path=xl/sharedStrings.xml><?xml version="1.0" encoding="utf-8"?>
<sst xmlns="http://schemas.openxmlformats.org/spreadsheetml/2006/main" count="527" uniqueCount="151">
  <si>
    <t>MANZANA</t>
  </si>
  <si>
    <t>Unidad</t>
  </si>
  <si>
    <t>Tipo</t>
  </si>
  <si>
    <t>Piso</t>
  </si>
  <si>
    <t>Precios US$</t>
  </si>
  <si>
    <t>RESERVA</t>
  </si>
  <si>
    <t>SEPARACION</t>
  </si>
  <si>
    <t>INICIAL</t>
  </si>
  <si>
    <t xml:space="preserve">CUOTAS 24 </t>
  </si>
  <si>
    <t>CONTRA ENTREGA</t>
  </si>
  <si>
    <t>Disponibilidad</t>
  </si>
  <si>
    <t>B</t>
  </si>
  <si>
    <t>A</t>
  </si>
  <si>
    <t>D</t>
  </si>
  <si>
    <t>C</t>
  </si>
  <si>
    <t>E</t>
  </si>
  <si>
    <t>TOTAL DE LA PRIMERA ETAPA FASE I</t>
  </si>
  <si>
    <t>NO DISPONIBLE</t>
  </si>
  <si>
    <t>DISPONIBLE</t>
  </si>
  <si>
    <t>BLOQUEADO</t>
  </si>
  <si>
    <t>A-101</t>
  </si>
  <si>
    <t>A-102</t>
  </si>
  <si>
    <t>A-201</t>
  </si>
  <si>
    <t>A-202</t>
  </si>
  <si>
    <t>A-301</t>
  </si>
  <si>
    <t>A-302</t>
  </si>
  <si>
    <t>A-401</t>
  </si>
  <si>
    <t>A-402</t>
  </si>
  <si>
    <t>B-101</t>
  </si>
  <si>
    <t>B-102</t>
  </si>
  <si>
    <t>B-201</t>
  </si>
  <si>
    <t>B-202</t>
  </si>
  <si>
    <t>B-301</t>
  </si>
  <si>
    <t>B-302</t>
  </si>
  <si>
    <t>B-401</t>
  </si>
  <si>
    <t>B-402</t>
  </si>
  <si>
    <t>C-101</t>
  </si>
  <si>
    <t>C-102</t>
  </si>
  <si>
    <t>C-201</t>
  </si>
  <si>
    <t>C-202</t>
  </si>
  <si>
    <t>C-301</t>
  </si>
  <si>
    <t>C-302</t>
  </si>
  <si>
    <t>C-401</t>
  </si>
  <si>
    <t>C-402</t>
  </si>
  <si>
    <t>D-101</t>
  </si>
  <si>
    <t>D-102</t>
  </si>
  <si>
    <t>D-201</t>
  </si>
  <si>
    <t>D-202</t>
  </si>
  <si>
    <t>D-301</t>
  </si>
  <si>
    <t>D-302</t>
  </si>
  <si>
    <t>D-401</t>
  </si>
  <si>
    <t>D-402</t>
  </si>
  <si>
    <t>E-101</t>
  </si>
  <si>
    <t>E-102</t>
  </si>
  <si>
    <t>E-201</t>
  </si>
  <si>
    <t>E-202</t>
  </si>
  <si>
    <t>E-301</t>
  </si>
  <si>
    <t>E-302</t>
  </si>
  <si>
    <t>E-401</t>
  </si>
  <si>
    <t>E-402</t>
  </si>
  <si>
    <t>F-101</t>
  </si>
  <si>
    <t>F-102</t>
  </si>
  <si>
    <t>F-201</t>
  </si>
  <si>
    <t>F-202</t>
  </si>
  <si>
    <t>F-301</t>
  </si>
  <si>
    <t>F-302</t>
  </si>
  <si>
    <t>F-401</t>
  </si>
  <si>
    <t>F-402</t>
  </si>
  <si>
    <t>I-101</t>
  </si>
  <si>
    <t>I-102</t>
  </si>
  <si>
    <t>I-103</t>
  </si>
  <si>
    <t>I-104</t>
  </si>
  <si>
    <t>I-201</t>
  </si>
  <si>
    <t>I-202</t>
  </si>
  <si>
    <t>I-203</t>
  </si>
  <si>
    <t>I-204</t>
  </si>
  <si>
    <t>I-301</t>
  </si>
  <si>
    <t>I-302</t>
  </si>
  <si>
    <t>I-303</t>
  </si>
  <si>
    <t>I-304</t>
  </si>
  <si>
    <t>I-401</t>
  </si>
  <si>
    <t>I-402</t>
  </si>
  <si>
    <t>I-403</t>
  </si>
  <si>
    <t>I-404</t>
  </si>
  <si>
    <t>J-101</t>
  </si>
  <si>
    <t>J-102</t>
  </si>
  <si>
    <t>J-103</t>
  </si>
  <si>
    <t>J-104</t>
  </si>
  <si>
    <t>J-201</t>
  </si>
  <si>
    <t>J-202</t>
  </si>
  <si>
    <t>J-203</t>
  </si>
  <si>
    <t>J-204</t>
  </si>
  <si>
    <t>J-301</t>
  </si>
  <si>
    <t>J-302</t>
  </si>
  <si>
    <t>J-303</t>
  </si>
  <si>
    <t>J-304</t>
  </si>
  <si>
    <t>J-401</t>
  </si>
  <si>
    <t>J-402</t>
  </si>
  <si>
    <t>J-403</t>
  </si>
  <si>
    <t>J-404</t>
  </si>
  <si>
    <t>K-101</t>
  </si>
  <si>
    <t>K-102</t>
  </si>
  <si>
    <t>K-103</t>
  </si>
  <si>
    <t>K-104</t>
  </si>
  <si>
    <t>K-201</t>
  </si>
  <si>
    <t>K-202</t>
  </si>
  <si>
    <t>K-203</t>
  </si>
  <si>
    <t>K-204</t>
  </si>
  <si>
    <t>K-301</t>
  </si>
  <si>
    <t>K-302</t>
  </si>
  <si>
    <t>K-303</t>
  </si>
  <si>
    <t>K-304</t>
  </si>
  <si>
    <t>K-401</t>
  </si>
  <si>
    <t>K-402</t>
  </si>
  <si>
    <t>K-403</t>
  </si>
  <si>
    <t>K-404</t>
  </si>
  <si>
    <t>L-101</t>
  </si>
  <si>
    <t>L-102</t>
  </si>
  <si>
    <t>L-103</t>
  </si>
  <si>
    <t>L-104</t>
  </si>
  <si>
    <t>L-201</t>
  </si>
  <si>
    <t>L-202</t>
  </si>
  <si>
    <t>L-203</t>
  </si>
  <si>
    <t>L-204</t>
  </si>
  <si>
    <t>L-301</t>
  </si>
  <si>
    <t>L-302</t>
  </si>
  <si>
    <t>L-303</t>
  </si>
  <si>
    <t>L-304</t>
  </si>
  <si>
    <t>L-401</t>
  </si>
  <si>
    <t>L-402</t>
  </si>
  <si>
    <t>L-403</t>
  </si>
  <si>
    <t>L-404</t>
  </si>
  <si>
    <t>M-101</t>
  </si>
  <si>
    <t>M-102</t>
  </si>
  <si>
    <t>M-103</t>
  </si>
  <si>
    <t>M-104</t>
  </si>
  <si>
    <t>M-201</t>
  </si>
  <si>
    <t>M-202</t>
  </si>
  <si>
    <t>M-203</t>
  </si>
  <si>
    <t>M-204</t>
  </si>
  <si>
    <t>M-301</t>
  </si>
  <si>
    <t>M-302</t>
  </si>
  <si>
    <t>M-303</t>
  </si>
  <si>
    <t>M-304</t>
  </si>
  <si>
    <t>M-401</t>
  </si>
  <si>
    <t>M-402</t>
  </si>
  <si>
    <t>M-403</t>
  </si>
  <si>
    <t>M-404</t>
  </si>
  <si>
    <t>METRAJE APT</t>
  </si>
  <si>
    <t>METRAJE TERRAZA</t>
  </si>
  <si>
    <t>METRAJE PATIO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</si>
</sst>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C0A]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name val="Aptos Narrow"/>
      <family val="2"/>
      <scheme val="minor"/>
    </font>
    <font>
      <b/>
      <sz val="11"/>
      <color rgb="FF161616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0" fillId="2" borderId="5" xfId="0" applyNumberFormat="1" applyFill="1" applyBorder="1"/>
    <xf numFmtId="164" fontId="0" fillId="2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7" xfId="0" applyNumberFormat="1" applyFill="1" applyBorder="1"/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164" fontId="3" fillId="2" borderId="5" xfId="0" applyNumberFormat="1" applyFont="1" applyFill="1" applyBorder="1"/>
    <xf numFmtId="164" fontId="1" fillId="0" borderId="0" xfId="0" applyNumberFormat="1" applyFont="1" applyAlignment="1">
      <alignment horizontal="center"/>
    </xf>
    <xf numFmtId="164" fontId="0" fillId="2" borderId="9" xfId="0" applyNumberFormat="1" applyFill="1" applyBorder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/>
    </xf>
    <xf numFmtId="164" fontId="0" fillId="2" borderId="12" xfId="0" applyNumberFormat="1" applyFill="1" applyBorder="1" applyAlignment="1">
      <alignment horizontal="center"/>
    </xf>
    <xf numFmtId="164" fontId="0" fillId="2" borderId="12" xfId="0" applyNumberFormat="1" applyFill="1" applyBorder="1"/>
    <xf numFmtId="164" fontId="0" fillId="2" borderId="13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 vertical="center" wrapText="1"/>
    </xf>
    <xf numFmtId="164" fontId="1" fillId="2" borderId="15" xfId="0" applyNumberFormat="1" applyFon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64" fontId="3" fillId="2" borderId="12" xfId="0" applyNumberFormat="1" applyFont="1" applyFill="1" applyBorder="1" applyAlignment="1">
      <alignment horizontal="center"/>
    </xf>
    <xf numFmtId="164" fontId="3" fillId="2" borderId="12" xfId="0" applyNumberFormat="1" applyFont="1" applyFill="1" applyBorder="1"/>
    <xf numFmtId="0" fontId="3" fillId="2" borderId="14" xfId="0" applyFont="1" applyFill="1" applyBorder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164" fontId="3" fillId="2" borderId="14" xfId="0" applyNumberFormat="1" applyFont="1" applyFill="1" applyBorder="1"/>
    <xf numFmtId="0" fontId="3" fillId="2" borderId="7" xfId="0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164" fontId="3" fillId="2" borderId="7" xfId="0" applyNumberFormat="1" applyFont="1" applyFill="1" applyBorder="1"/>
    <xf numFmtId="164" fontId="0" fillId="2" borderId="17" xfId="0" applyNumberFormat="1" applyFill="1" applyBorder="1" applyAlignment="1">
      <alignment horizontal="center" vertical="center"/>
    </xf>
    <xf numFmtId="0" fontId="1" fillId="0" borderId="8" xfId="0" applyFont="1" applyBorder="1" applyAlignment="1">
      <alignment horizontal="right"/>
    </xf>
    <xf numFmtId="164" fontId="1" fillId="0" borderId="1" xfId="0" applyNumberFormat="1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8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4" fillId="4" borderId="19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6" fillId="6" borderId="2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0" fillId="0" borderId="5" xfId="0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0</xdr:row>
      <xdr:rowOff>0</xdr:rowOff>
    </xdr:from>
    <xdr:to>
      <xdr:col>5</xdr:col>
      <xdr:colOff>228600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424373-E9B7-4FEB-9363-FAD82D33B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9350" y="-104775"/>
          <a:ext cx="0" cy="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ersonal/diana_reyes_jamconstruccionesrl_com/Documents/JAM%20CONSTRUCCIONES/03.%20CANEY%20ORIENTAL/NOMENCLATURA_CANEY%20ORIENTAL.xlsx" TargetMode="External"/><Relationship Id="rId2" Type="http://schemas.openxmlformats.org/officeDocument/2006/relationships/externalLinkPath" Target="https://jamconstruccionescom-my.sharepoint.com/personal/diana_reyes_jamconstruccionesrl_com/Documents/JAM%20CONSTRUCCIONES/03.%20CANEY%20ORIENTAL/NOMENCLATURA_CANEY%20ORIENTAL.xlsx" TargetMode="External"/><Relationship Id="rId1" Type="http://schemas.openxmlformats.org/officeDocument/2006/relationships/externalLinkPath" Target="/personal/diana_reyes_jamconstruccionesrl_com/Documents/JAM%20CONSTRUCCIONES/03.%20CANEY%20ORIENTAL/NOMENCLATURA_CANEY%20ORIENT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hQ_uojcfUGFM_vOoq8cp_vARXip-xBCocCE52H6Uqwft2HLq0BvSKMSVQINgxUq" itemId="01RBFC2HBCIUMSXBCTHJDZNEWTIXMEHCYC">
      <xxl21:absoluteUrl r:id="rId2"/>
      <xxl21:relativeUrl r:id="rId3"/>
    </xxl21:alternateUrls>
    <sheetNames>
      <sheetName val="LISTA DE PRECIOS ETAPA 1"/>
    </sheetNames>
    <sheetDataSet>
      <sheetData sheetId="0">
        <row r="10">
          <cell r="Q10" t="str">
            <v>NO DISPONIBLE</v>
          </cell>
        </row>
        <row r="138">
          <cell r="Q138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FD9AA-986F-473C-96BF-9EF30E296791}">
  <dimension ref="A1:N130"/>
  <sheetViews>
    <sheetView tabSelected="1" view="pageBreakPreview" zoomScaleNormal="100" zoomScaleSheetLayoutView="100" workbookViewId="0">
      <selection activeCell="H123" sqref="H123"/>
    </sheetView>
  </sheetViews>
  <sheetFormatPr baseColWidth="10" defaultColWidth="11.44140625" defaultRowHeight="14.4" x14ac:dyDescent="0.3"/>
  <cols>
    <col min="2" max="2" width="11.21875" customWidth="1"/>
    <col min="3" max="3" width="12.77734375" customWidth="1"/>
    <col min="4" max="4" width="15.109375" customWidth="1"/>
    <col min="8" max="8" width="19.6640625" customWidth="1"/>
    <col min="9" max="9" width="19.109375" customWidth="1"/>
    <col min="10" max="10" width="17.6640625" customWidth="1"/>
    <col min="11" max="11" width="15.88671875" customWidth="1"/>
    <col min="12" max="12" width="18.109375" customWidth="1"/>
    <col min="13" max="13" width="18.109375" style="46" customWidth="1"/>
    <col min="14" max="14" width="25.88671875" customWidth="1"/>
  </cols>
  <sheetData>
    <row r="1" spans="1:14" ht="28.2" thickBot="1" x14ac:dyDescent="0.35">
      <c r="A1" s="3" t="s">
        <v>1</v>
      </c>
      <c r="B1" s="1" t="s">
        <v>148</v>
      </c>
      <c r="C1" s="2" t="s">
        <v>149</v>
      </c>
      <c r="D1" s="2" t="s">
        <v>150</v>
      </c>
      <c r="E1" s="3" t="s">
        <v>0</v>
      </c>
      <c r="F1" s="3" t="s">
        <v>2</v>
      </c>
      <c r="G1" s="3" t="s">
        <v>3</v>
      </c>
      <c r="H1" s="4" t="s">
        <v>4</v>
      </c>
      <c r="I1" s="3" t="s">
        <v>5</v>
      </c>
      <c r="J1" s="3" t="s">
        <v>6</v>
      </c>
      <c r="K1" s="3" t="s">
        <v>7</v>
      </c>
      <c r="L1" s="5" t="s">
        <v>8</v>
      </c>
      <c r="M1" s="21" t="s">
        <v>9</v>
      </c>
      <c r="N1" s="6" t="s">
        <v>10</v>
      </c>
    </row>
    <row r="2" spans="1:14" ht="15" thickBot="1" x14ac:dyDescent="0.35">
      <c r="A2" s="73" t="s">
        <v>20</v>
      </c>
      <c r="B2" s="66">
        <v>76.34</v>
      </c>
      <c r="C2" s="22"/>
      <c r="D2" s="22">
        <v>22.29</v>
      </c>
      <c r="E2" s="22" t="s">
        <v>11</v>
      </c>
      <c r="F2" s="22" t="s">
        <v>13</v>
      </c>
      <c r="G2" s="22">
        <v>1</v>
      </c>
      <c r="H2" s="23">
        <v>75958.3</v>
      </c>
      <c r="I2" s="23">
        <v>500</v>
      </c>
      <c r="J2" s="23">
        <v>3297.9150000000004</v>
      </c>
      <c r="K2" s="24">
        <v>11393.745000000001</v>
      </c>
      <c r="L2" s="25">
        <v>474.73937500000005</v>
      </c>
      <c r="M2" s="26">
        <f>+H2-K2-I2-J2</f>
        <v>60766.64</v>
      </c>
      <c r="N2" s="50" t="s">
        <v>17</v>
      </c>
    </row>
    <row r="3" spans="1:14" x14ac:dyDescent="0.3">
      <c r="A3" s="73" t="s">
        <v>21</v>
      </c>
      <c r="B3" s="67">
        <v>76.34</v>
      </c>
      <c r="C3" s="7"/>
      <c r="D3" s="7">
        <v>22.29</v>
      </c>
      <c r="E3" s="7" t="s">
        <v>11</v>
      </c>
      <c r="F3" s="7" t="s">
        <v>13</v>
      </c>
      <c r="G3" s="7">
        <v>1</v>
      </c>
      <c r="H3" s="8">
        <v>75958.3</v>
      </c>
      <c r="I3" s="8">
        <v>500</v>
      </c>
      <c r="J3" s="8">
        <v>3297.9150000000004</v>
      </c>
      <c r="K3" s="9">
        <v>11393.745000000001</v>
      </c>
      <c r="L3" s="10">
        <v>474.73937500000005</v>
      </c>
      <c r="M3" s="18">
        <f t="shared" ref="M3:M25" si="0">+H3-K3-I3-J3</f>
        <v>60766.64</v>
      </c>
      <c r="N3" s="51" t="s">
        <v>17</v>
      </c>
    </row>
    <row r="4" spans="1:14" x14ac:dyDescent="0.3">
      <c r="A4" s="73" t="s">
        <v>22</v>
      </c>
      <c r="B4" s="67">
        <v>76.34</v>
      </c>
      <c r="C4" s="7"/>
      <c r="D4" s="7"/>
      <c r="E4" s="7" t="s">
        <v>11</v>
      </c>
      <c r="F4" s="7" t="s">
        <v>13</v>
      </c>
      <c r="G4" s="7">
        <v>2</v>
      </c>
      <c r="H4" s="8">
        <v>70232.800000000003</v>
      </c>
      <c r="I4" s="8">
        <v>500</v>
      </c>
      <c r="J4" s="8">
        <v>3011.6400000000003</v>
      </c>
      <c r="K4" s="9">
        <v>10534.92</v>
      </c>
      <c r="L4" s="10">
        <v>438.95499999999998</v>
      </c>
      <c r="M4" s="18">
        <f t="shared" si="0"/>
        <v>56186.240000000005</v>
      </c>
      <c r="N4" s="52" t="s">
        <v>18</v>
      </c>
    </row>
    <row r="5" spans="1:14" x14ac:dyDescent="0.3">
      <c r="A5" s="73" t="s">
        <v>23</v>
      </c>
      <c r="B5" s="67">
        <v>76.34</v>
      </c>
      <c r="C5" s="7"/>
      <c r="D5" s="7"/>
      <c r="E5" s="7" t="s">
        <v>11</v>
      </c>
      <c r="F5" s="7" t="s">
        <v>13</v>
      </c>
      <c r="G5" s="7">
        <v>2</v>
      </c>
      <c r="H5" s="8">
        <v>70232.800000000003</v>
      </c>
      <c r="I5" s="8">
        <v>500</v>
      </c>
      <c r="J5" s="8">
        <v>3011.6400000000003</v>
      </c>
      <c r="K5" s="9">
        <v>10534.92</v>
      </c>
      <c r="L5" s="10">
        <v>438.95499999999998</v>
      </c>
      <c r="M5" s="18">
        <f t="shared" si="0"/>
        <v>56186.240000000005</v>
      </c>
      <c r="N5" s="51" t="s">
        <v>17</v>
      </c>
    </row>
    <row r="6" spans="1:14" x14ac:dyDescent="0.3">
      <c r="A6" s="73" t="s">
        <v>24</v>
      </c>
      <c r="B6" s="67">
        <v>76.34</v>
      </c>
      <c r="C6" s="7"/>
      <c r="D6" s="7"/>
      <c r="E6" s="7" t="s">
        <v>11</v>
      </c>
      <c r="F6" s="7" t="s">
        <v>13</v>
      </c>
      <c r="G6" s="7">
        <v>3</v>
      </c>
      <c r="H6" s="8">
        <v>66415.8</v>
      </c>
      <c r="I6" s="8">
        <v>500</v>
      </c>
      <c r="J6" s="8">
        <v>2820.7900000000004</v>
      </c>
      <c r="K6" s="9">
        <v>9962.3700000000008</v>
      </c>
      <c r="L6" s="10">
        <v>415.09875000000005</v>
      </c>
      <c r="M6" s="18">
        <f t="shared" si="0"/>
        <v>53132.639999999999</v>
      </c>
      <c r="N6" s="51" t="s">
        <v>17</v>
      </c>
    </row>
    <row r="7" spans="1:14" x14ac:dyDescent="0.3">
      <c r="A7" s="73" t="s">
        <v>25</v>
      </c>
      <c r="B7" s="67">
        <v>76.34</v>
      </c>
      <c r="C7" s="7"/>
      <c r="D7" s="7"/>
      <c r="E7" s="7" t="s">
        <v>11</v>
      </c>
      <c r="F7" s="7" t="s">
        <v>13</v>
      </c>
      <c r="G7" s="7">
        <v>3</v>
      </c>
      <c r="H7" s="8">
        <v>66415.8</v>
      </c>
      <c r="I7" s="8">
        <v>500</v>
      </c>
      <c r="J7" s="8">
        <v>2820.7900000000004</v>
      </c>
      <c r="K7" s="9">
        <v>9962.3700000000008</v>
      </c>
      <c r="L7" s="10">
        <v>415.09875000000005</v>
      </c>
      <c r="M7" s="18">
        <f t="shared" si="0"/>
        <v>53132.639999999999</v>
      </c>
      <c r="N7" s="51" t="s">
        <v>17</v>
      </c>
    </row>
    <row r="8" spans="1:14" ht="15" thickBot="1" x14ac:dyDescent="0.35">
      <c r="A8" s="73" t="s">
        <v>26</v>
      </c>
      <c r="B8" s="67">
        <v>76.34</v>
      </c>
      <c r="C8" s="7">
        <v>37.479999999999997</v>
      </c>
      <c r="D8" s="7"/>
      <c r="E8" s="7" t="s">
        <v>11</v>
      </c>
      <c r="F8" s="7" t="s">
        <v>13</v>
      </c>
      <c r="G8" s="7">
        <v>4</v>
      </c>
      <c r="H8" s="8">
        <v>75958.3</v>
      </c>
      <c r="I8" s="8">
        <v>500</v>
      </c>
      <c r="J8" s="8">
        <v>3297.9150000000004</v>
      </c>
      <c r="K8" s="9">
        <v>11393.745000000001</v>
      </c>
      <c r="L8" s="10">
        <v>474.73937500000005</v>
      </c>
      <c r="M8" s="18">
        <f t="shared" si="0"/>
        <v>60766.64</v>
      </c>
      <c r="N8" s="50" t="s">
        <v>17</v>
      </c>
    </row>
    <row r="9" spans="1:14" ht="15" thickBot="1" x14ac:dyDescent="0.35">
      <c r="A9" s="73" t="s">
        <v>27</v>
      </c>
      <c r="B9" s="68">
        <v>76.34</v>
      </c>
      <c r="C9" s="11">
        <v>37.479999999999997</v>
      </c>
      <c r="D9" s="11"/>
      <c r="E9" s="11" t="s">
        <v>11</v>
      </c>
      <c r="F9" s="11" t="s">
        <v>13</v>
      </c>
      <c r="G9" s="11">
        <v>4</v>
      </c>
      <c r="H9" s="12">
        <v>75958.3</v>
      </c>
      <c r="I9" s="12">
        <v>500</v>
      </c>
      <c r="J9" s="12">
        <v>3297.9150000000004</v>
      </c>
      <c r="K9" s="13">
        <v>11393.745000000001</v>
      </c>
      <c r="L9" s="29">
        <v>474.73937500000005</v>
      </c>
      <c r="M9" s="19">
        <f t="shared" si="0"/>
        <v>60766.64</v>
      </c>
      <c r="N9" s="50" t="s">
        <v>17</v>
      </c>
    </row>
    <row r="10" spans="1:14" ht="15" thickBot="1" x14ac:dyDescent="0.35">
      <c r="A10" s="73" t="s">
        <v>28</v>
      </c>
      <c r="B10" s="66">
        <v>76.34</v>
      </c>
      <c r="C10" s="22"/>
      <c r="D10" s="22">
        <v>22.29</v>
      </c>
      <c r="E10" s="22" t="s">
        <v>11</v>
      </c>
      <c r="F10" s="22" t="s">
        <v>13</v>
      </c>
      <c r="G10" s="22">
        <v>1</v>
      </c>
      <c r="H10" s="23">
        <v>75958.3</v>
      </c>
      <c r="I10" s="23">
        <v>500</v>
      </c>
      <c r="J10" s="23">
        <v>3297.9150000000004</v>
      </c>
      <c r="K10" s="24">
        <v>11393.745000000001</v>
      </c>
      <c r="L10" s="25">
        <v>474.73937500000005</v>
      </c>
      <c r="M10" s="28">
        <f t="shared" si="0"/>
        <v>60766.64</v>
      </c>
      <c r="N10" s="53" t="s">
        <v>17</v>
      </c>
    </row>
    <row r="11" spans="1:14" x14ac:dyDescent="0.3">
      <c r="A11" s="73" t="s">
        <v>29</v>
      </c>
      <c r="B11" s="67">
        <v>76.34</v>
      </c>
      <c r="C11" s="7"/>
      <c r="D11" s="7">
        <v>22.29</v>
      </c>
      <c r="E11" s="7" t="s">
        <v>11</v>
      </c>
      <c r="F11" s="7" t="s">
        <v>13</v>
      </c>
      <c r="G11" s="7">
        <v>1</v>
      </c>
      <c r="H11" s="8">
        <v>75958.3</v>
      </c>
      <c r="I11" s="8">
        <v>500</v>
      </c>
      <c r="J11" s="8">
        <v>3297.9150000000004</v>
      </c>
      <c r="K11" s="9">
        <v>11393.745000000001</v>
      </c>
      <c r="L11" s="10">
        <v>474.73937500000005</v>
      </c>
      <c r="M11" s="18">
        <f t="shared" si="0"/>
        <v>60766.64</v>
      </c>
      <c r="N11" s="53" t="s">
        <v>17</v>
      </c>
    </row>
    <row r="12" spans="1:14" x14ac:dyDescent="0.3">
      <c r="A12" s="73" t="s">
        <v>30</v>
      </c>
      <c r="B12" s="67">
        <v>76.34</v>
      </c>
      <c r="C12" s="7"/>
      <c r="D12" s="7"/>
      <c r="E12" s="7" t="s">
        <v>11</v>
      </c>
      <c r="F12" s="7" t="s">
        <v>13</v>
      </c>
      <c r="G12" s="7">
        <v>2</v>
      </c>
      <c r="H12" s="8">
        <v>70232.800000000003</v>
      </c>
      <c r="I12" s="8">
        <v>500</v>
      </c>
      <c r="J12" s="8">
        <v>3011.6400000000003</v>
      </c>
      <c r="K12" s="9">
        <v>10534.92</v>
      </c>
      <c r="L12" s="10">
        <v>438.95499999999998</v>
      </c>
      <c r="M12" s="18">
        <f t="shared" si="0"/>
        <v>56186.240000000005</v>
      </c>
      <c r="N12" s="52" t="s">
        <v>18</v>
      </c>
    </row>
    <row r="13" spans="1:14" x14ac:dyDescent="0.3">
      <c r="A13" s="73" t="s">
        <v>31</v>
      </c>
      <c r="B13" s="67">
        <v>76.34</v>
      </c>
      <c r="C13" s="7"/>
      <c r="D13" s="7"/>
      <c r="E13" s="7" t="s">
        <v>11</v>
      </c>
      <c r="F13" s="7" t="s">
        <v>13</v>
      </c>
      <c r="G13" s="7">
        <v>2</v>
      </c>
      <c r="H13" s="8">
        <v>70232.800000000003</v>
      </c>
      <c r="I13" s="8">
        <v>500</v>
      </c>
      <c r="J13" s="8">
        <v>3011.6400000000003</v>
      </c>
      <c r="K13" s="9">
        <v>10534.92</v>
      </c>
      <c r="L13" s="10">
        <v>438.95499999999998</v>
      </c>
      <c r="M13" s="18">
        <f t="shared" si="0"/>
        <v>56186.240000000005</v>
      </c>
      <c r="N13" s="51" t="s">
        <v>17</v>
      </c>
    </row>
    <row r="14" spans="1:14" x14ac:dyDescent="0.3">
      <c r="A14" s="73" t="s">
        <v>32</v>
      </c>
      <c r="B14" s="67">
        <v>76.34</v>
      </c>
      <c r="C14" s="7"/>
      <c r="D14" s="7"/>
      <c r="E14" s="7" t="s">
        <v>11</v>
      </c>
      <c r="F14" s="7" t="s">
        <v>13</v>
      </c>
      <c r="G14" s="7">
        <v>3</v>
      </c>
      <c r="H14" s="8">
        <v>66415.8</v>
      </c>
      <c r="I14" s="8">
        <v>500</v>
      </c>
      <c r="J14" s="8">
        <v>2820.7900000000004</v>
      </c>
      <c r="K14" s="9">
        <v>9962.3700000000008</v>
      </c>
      <c r="L14" s="10">
        <v>415.09875000000005</v>
      </c>
      <c r="M14" s="18">
        <f t="shared" si="0"/>
        <v>53132.639999999999</v>
      </c>
      <c r="N14" s="51" t="s">
        <v>17</v>
      </c>
    </row>
    <row r="15" spans="1:14" x14ac:dyDescent="0.3">
      <c r="A15" s="73" t="s">
        <v>33</v>
      </c>
      <c r="B15" s="67">
        <v>76.34</v>
      </c>
      <c r="C15" s="7"/>
      <c r="D15" s="7"/>
      <c r="E15" s="7" t="s">
        <v>11</v>
      </c>
      <c r="F15" s="7" t="s">
        <v>13</v>
      </c>
      <c r="G15" s="7">
        <v>3</v>
      </c>
      <c r="H15" s="8">
        <v>66415.8</v>
      </c>
      <c r="I15" s="8">
        <v>500</v>
      </c>
      <c r="J15" s="8">
        <v>2820.7900000000004</v>
      </c>
      <c r="K15" s="9">
        <v>9962.3700000000008</v>
      </c>
      <c r="L15" s="10">
        <v>415.09875000000005</v>
      </c>
      <c r="M15" s="18">
        <f t="shared" si="0"/>
        <v>53132.639999999999</v>
      </c>
      <c r="N15" s="51" t="s">
        <v>17</v>
      </c>
    </row>
    <row r="16" spans="1:14" x14ac:dyDescent="0.3">
      <c r="A16" s="73" t="s">
        <v>34</v>
      </c>
      <c r="B16" s="67">
        <v>76.34</v>
      </c>
      <c r="C16" s="7">
        <v>37.479999999999997</v>
      </c>
      <c r="D16" s="7"/>
      <c r="E16" s="7" t="s">
        <v>11</v>
      </c>
      <c r="F16" s="7" t="s">
        <v>13</v>
      </c>
      <c r="G16" s="7">
        <v>4</v>
      </c>
      <c r="H16" s="8">
        <v>75958.3</v>
      </c>
      <c r="I16" s="8">
        <v>500</v>
      </c>
      <c r="J16" s="8">
        <v>3297.9150000000004</v>
      </c>
      <c r="K16" s="9">
        <v>11393.745000000001</v>
      </c>
      <c r="L16" s="10">
        <v>474.73937500000005</v>
      </c>
      <c r="M16" s="18">
        <f t="shared" si="0"/>
        <v>60766.64</v>
      </c>
      <c r="N16" s="51" t="s">
        <v>17</v>
      </c>
    </row>
    <row r="17" spans="1:14" ht="15" thickBot="1" x14ac:dyDescent="0.35">
      <c r="A17" s="73" t="s">
        <v>35</v>
      </c>
      <c r="B17" s="68">
        <v>76.34</v>
      </c>
      <c r="C17" s="11">
        <v>37.479999999999997</v>
      </c>
      <c r="D17" s="11"/>
      <c r="E17" s="11" t="s">
        <v>11</v>
      </c>
      <c r="F17" s="11" t="s">
        <v>13</v>
      </c>
      <c r="G17" s="11">
        <v>4</v>
      </c>
      <c r="H17" s="12">
        <v>75958.3</v>
      </c>
      <c r="I17" s="12">
        <v>500</v>
      </c>
      <c r="J17" s="12">
        <v>3297.9150000000004</v>
      </c>
      <c r="K17" s="13">
        <v>11393.745000000001</v>
      </c>
      <c r="L17" s="29">
        <v>474.73937500000005</v>
      </c>
      <c r="M17" s="19">
        <f t="shared" si="0"/>
        <v>60766.64</v>
      </c>
      <c r="N17" s="54" t="s">
        <v>18</v>
      </c>
    </row>
    <row r="18" spans="1:14" ht="15" thickBot="1" x14ac:dyDescent="0.35">
      <c r="A18" s="73" t="s">
        <v>36</v>
      </c>
      <c r="B18" s="66">
        <v>76.34</v>
      </c>
      <c r="C18" s="22"/>
      <c r="D18" s="22">
        <v>22.29</v>
      </c>
      <c r="E18" s="22" t="s">
        <v>11</v>
      </c>
      <c r="F18" s="22" t="s">
        <v>13</v>
      </c>
      <c r="G18" s="22">
        <v>1</v>
      </c>
      <c r="H18" s="23">
        <v>75958.3</v>
      </c>
      <c r="I18" s="23">
        <v>500</v>
      </c>
      <c r="J18" s="23">
        <v>3297.9150000000004</v>
      </c>
      <c r="K18" s="24">
        <v>11393.745000000001</v>
      </c>
      <c r="L18" s="25">
        <v>474.73937500000005</v>
      </c>
      <c r="M18" s="28">
        <f t="shared" si="0"/>
        <v>60766.64</v>
      </c>
      <c r="N18" s="50" t="s">
        <v>17</v>
      </c>
    </row>
    <row r="19" spans="1:14" ht="15" thickBot="1" x14ac:dyDescent="0.35">
      <c r="A19" s="73" t="s">
        <v>37</v>
      </c>
      <c r="B19" s="67">
        <v>76.34</v>
      </c>
      <c r="C19" s="7"/>
      <c r="D19" s="7">
        <v>22.29</v>
      </c>
      <c r="E19" s="7" t="s">
        <v>11</v>
      </c>
      <c r="F19" s="7" t="s">
        <v>13</v>
      </c>
      <c r="G19" s="7">
        <v>1</v>
      </c>
      <c r="H19" s="8">
        <v>75958.3</v>
      </c>
      <c r="I19" s="8">
        <v>500</v>
      </c>
      <c r="J19" s="8">
        <v>3297.9150000000004</v>
      </c>
      <c r="K19" s="9">
        <v>11393.745000000001</v>
      </c>
      <c r="L19" s="10">
        <v>474.73937500000005</v>
      </c>
      <c r="M19" s="18">
        <f t="shared" si="0"/>
        <v>60766.64</v>
      </c>
      <c r="N19" s="50" t="s">
        <v>17</v>
      </c>
    </row>
    <row r="20" spans="1:14" x14ac:dyDescent="0.3">
      <c r="A20" s="73" t="s">
        <v>38</v>
      </c>
      <c r="B20" s="67">
        <v>76.34</v>
      </c>
      <c r="C20" s="7"/>
      <c r="D20" s="7"/>
      <c r="E20" s="7" t="s">
        <v>11</v>
      </c>
      <c r="F20" s="7" t="s">
        <v>13</v>
      </c>
      <c r="G20" s="7">
        <v>2</v>
      </c>
      <c r="H20" s="8">
        <v>70232.800000000003</v>
      </c>
      <c r="I20" s="8">
        <v>500</v>
      </c>
      <c r="J20" s="8">
        <v>3011.6400000000003</v>
      </c>
      <c r="K20" s="9">
        <v>10534.92</v>
      </c>
      <c r="L20" s="10">
        <v>438.95499999999998</v>
      </c>
      <c r="M20" s="18">
        <f t="shared" si="0"/>
        <v>56186.240000000005</v>
      </c>
      <c r="N20" s="51" t="s">
        <v>17</v>
      </c>
    </row>
    <row r="21" spans="1:14" x14ac:dyDescent="0.3">
      <c r="A21" s="73" t="s">
        <v>39</v>
      </c>
      <c r="B21" s="67">
        <v>76.34</v>
      </c>
      <c r="C21" s="7"/>
      <c r="D21" s="7"/>
      <c r="E21" s="7" t="s">
        <v>11</v>
      </c>
      <c r="F21" s="7" t="s">
        <v>13</v>
      </c>
      <c r="G21" s="7">
        <v>2</v>
      </c>
      <c r="H21" s="8">
        <v>70232.800000000003</v>
      </c>
      <c r="I21" s="8">
        <v>500</v>
      </c>
      <c r="J21" s="8">
        <v>3011.6400000000003</v>
      </c>
      <c r="K21" s="9">
        <v>10534.92</v>
      </c>
      <c r="L21" s="10">
        <v>438.95499999999998</v>
      </c>
      <c r="M21" s="18">
        <f t="shared" si="0"/>
        <v>56186.240000000005</v>
      </c>
      <c r="N21" s="51" t="s">
        <v>17</v>
      </c>
    </row>
    <row r="22" spans="1:14" x14ac:dyDescent="0.3">
      <c r="A22" s="73" t="s">
        <v>40</v>
      </c>
      <c r="B22" s="67">
        <v>76.34</v>
      </c>
      <c r="C22" s="7"/>
      <c r="D22" s="7"/>
      <c r="E22" s="7" t="s">
        <v>11</v>
      </c>
      <c r="F22" s="7" t="s">
        <v>13</v>
      </c>
      <c r="G22" s="7">
        <v>3</v>
      </c>
      <c r="H22" s="8">
        <v>66415.8</v>
      </c>
      <c r="I22" s="8">
        <v>500</v>
      </c>
      <c r="J22" s="8">
        <v>2820.7900000000004</v>
      </c>
      <c r="K22" s="9">
        <v>9962.3700000000008</v>
      </c>
      <c r="L22" s="10">
        <v>415.09875000000005</v>
      </c>
      <c r="M22" s="18">
        <f t="shared" si="0"/>
        <v>53132.639999999999</v>
      </c>
      <c r="N22" s="51" t="s">
        <v>17</v>
      </c>
    </row>
    <row r="23" spans="1:14" x14ac:dyDescent="0.3">
      <c r="A23" s="73" t="s">
        <v>41</v>
      </c>
      <c r="B23" s="67">
        <v>76.34</v>
      </c>
      <c r="C23" s="7"/>
      <c r="D23" s="7"/>
      <c r="E23" s="7" t="s">
        <v>11</v>
      </c>
      <c r="F23" s="7" t="s">
        <v>13</v>
      </c>
      <c r="G23" s="7">
        <v>3</v>
      </c>
      <c r="H23" s="8">
        <v>66415.8</v>
      </c>
      <c r="I23" s="8">
        <v>500</v>
      </c>
      <c r="J23" s="8">
        <v>2820.7900000000004</v>
      </c>
      <c r="K23" s="9">
        <v>9962.3700000000008</v>
      </c>
      <c r="L23" s="10">
        <v>415.09875000000005</v>
      </c>
      <c r="M23" s="18">
        <f t="shared" si="0"/>
        <v>53132.639999999999</v>
      </c>
      <c r="N23" s="51" t="s">
        <v>17</v>
      </c>
    </row>
    <row r="24" spans="1:14" ht="15" thickBot="1" x14ac:dyDescent="0.35">
      <c r="A24" s="73" t="s">
        <v>42</v>
      </c>
      <c r="B24" s="67">
        <v>76.34</v>
      </c>
      <c r="C24" s="7">
        <v>37.479999999999997</v>
      </c>
      <c r="D24" s="7"/>
      <c r="E24" s="7" t="s">
        <v>11</v>
      </c>
      <c r="F24" s="7" t="s">
        <v>13</v>
      </c>
      <c r="G24" s="7">
        <v>4</v>
      </c>
      <c r="H24" s="8">
        <v>75958.3</v>
      </c>
      <c r="I24" s="8">
        <v>500</v>
      </c>
      <c r="J24" s="8">
        <v>3297.9150000000004</v>
      </c>
      <c r="K24" s="9">
        <v>11393.745000000001</v>
      </c>
      <c r="L24" s="10">
        <v>474.73937500000005</v>
      </c>
      <c r="M24" s="18">
        <f t="shared" si="0"/>
        <v>60766.64</v>
      </c>
      <c r="N24" s="50" t="s">
        <v>17</v>
      </c>
    </row>
    <row r="25" spans="1:14" ht="15" thickBot="1" x14ac:dyDescent="0.35">
      <c r="A25" s="73" t="s">
        <v>43</v>
      </c>
      <c r="B25" s="68">
        <v>76.34</v>
      </c>
      <c r="C25" s="11">
        <v>37.479999999999997</v>
      </c>
      <c r="D25" s="11"/>
      <c r="E25" s="11" t="s">
        <v>11</v>
      </c>
      <c r="F25" s="11" t="s">
        <v>13</v>
      </c>
      <c r="G25" s="11">
        <v>4</v>
      </c>
      <c r="H25" s="12">
        <v>75958.3</v>
      </c>
      <c r="I25" s="12">
        <v>500</v>
      </c>
      <c r="J25" s="12">
        <v>3297.9150000000004</v>
      </c>
      <c r="K25" s="13">
        <v>11393.745000000001</v>
      </c>
      <c r="L25" s="29">
        <v>474.73937500000005</v>
      </c>
      <c r="M25" s="19">
        <f t="shared" si="0"/>
        <v>60766.64</v>
      </c>
      <c r="N25" s="54" t="s">
        <v>18</v>
      </c>
    </row>
    <row r="26" spans="1:14" ht="15" thickBot="1" x14ac:dyDescent="0.35">
      <c r="A26" s="73" t="s">
        <v>44</v>
      </c>
      <c r="B26" s="69">
        <v>76.34</v>
      </c>
      <c r="C26" s="30"/>
      <c r="D26" s="30">
        <v>22.29</v>
      </c>
      <c r="E26" s="30" t="s">
        <v>11</v>
      </c>
      <c r="F26" s="30" t="s">
        <v>13</v>
      </c>
      <c r="G26" s="30">
        <v>1</v>
      </c>
      <c r="H26" s="31">
        <v>75958.3</v>
      </c>
      <c r="I26" s="31">
        <v>500</v>
      </c>
      <c r="J26" s="31">
        <v>3297.9150000000004</v>
      </c>
      <c r="K26" s="32">
        <f>+H26*15%</f>
        <v>11393.745000000001</v>
      </c>
      <c r="L26" s="31">
        <f>+K26/24</f>
        <v>474.73937500000005</v>
      </c>
      <c r="M26" s="42">
        <f t="shared" ref="M26:M33" si="1">+H26-I26-J26-K26</f>
        <v>60766.640000000007</v>
      </c>
      <c r="N26" s="55" t="s">
        <v>17</v>
      </c>
    </row>
    <row r="27" spans="1:14" ht="15" thickBot="1" x14ac:dyDescent="0.35">
      <c r="A27" s="73" t="s">
        <v>45</v>
      </c>
      <c r="B27" s="70">
        <v>76.34</v>
      </c>
      <c r="C27" s="14"/>
      <c r="D27" s="14">
        <v>22.29</v>
      </c>
      <c r="E27" s="14" t="s">
        <v>11</v>
      </c>
      <c r="F27" s="14" t="s">
        <v>13</v>
      </c>
      <c r="G27" s="14">
        <v>1</v>
      </c>
      <c r="H27" s="15">
        <v>75958.3</v>
      </c>
      <c r="I27" s="15">
        <v>500</v>
      </c>
      <c r="J27" s="15">
        <v>3297.9150000000004</v>
      </c>
      <c r="K27" s="16">
        <f t="shared" ref="K27:K33" si="2">+H27*15%</f>
        <v>11393.745000000001</v>
      </c>
      <c r="L27" s="15">
        <f t="shared" ref="L27:L33" si="3">+K27/24</f>
        <v>474.73937500000005</v>
      </c>
      <c r="M27" s="43">
        <f t="shared" si="1"/>
        <v>60766.640000000007</v>
      </c>
      <c r="N27" s="55" t="s">
        <v>17</v>
      </c>
    </row>
    <row r="28" spans="1:14" ht="15" thickBot="1" x14ac:dyDescent="0.35">
      <c r="A28" s="73" t="s">
        <v>46</v>
      </c>
      <c r="B28" s="70">
        <v>76.34</v>
      </c>
      <c r="C28" s="14"/>
      <c r="D28" s="14"/>
      <c r="E28" s="14" t="s">
        <v>11</v>
      </c>
      <c r="F28" s="14" t="s">
        <v>13</v>
      </c>
      <c r="G28" s="14">
        <v>2</v>
      </c>
      <c r="H28" s="15">
        <v>70232.800000000003</v>
      </c>
      <c r="I28" s="15">
        <v>500</v>
      </c>
      <c r="J28" s="15">
        <v>3011.6400000000003</v>
      </c>
      <c r="K28" s="16">
        <f t="shared" si="2"/>
        <v>10534.92</v>
      </c>
      <c r="L28" s="15">
        <f t="shared" si="3"/>
        <v>438.95499999999998</v>
      </c>
      <c r="M28" s="43">
        <f t="shared" si="1"/>
        <v>56186.240000000005</v>
      </c>
      <c r="N28" s="55" t="s">
        <v>17</v>
      </c>
    </row>
    <row r="29" spans="1:14" ht="15" thickBot="1" x14ac:dyDescent="0.35">
      <c r="A29" s="73" t="s">
        <v>47</v>
      </c>
      <c r="B29" s="70">
        <v>76.34</v>
      </c>
      <c r="C29" s="14"/>
      <c r="D29" s="14"/>
      <c r="E29" s="14" t="s">
        <v>11</v>
      </c>
      <c r="F29" s="14" t="s">
        <v>13</v>
      </c>
      <c r="G29" s="14">
        <v>2</v>
      </c>
      <c r="H29" s="15">
        <v>70232.800000000003</v>
      </c>
      <c r="I29" s="15">
        <v>500</v>
      </c>
      <c r="J29" s="15">
        <v>3011.6400000000003</v>
      </c>
      <c r="K29" s="16">
        <f t="shared" si="2"/>
        <v>10534.92</v>
      </c>
      <c r="L29" s="15">
        <f t="shared" si="3"/>
        <v>438.95499999999998</v>
      </c>
      <c r="M29" s="43">
        <f t="shared" si="1"/>
        <v>56186.240000000005</v>
      </c>
      <c r="N29" s="55" t="s">
        <v>17</v>
      </c>
    </row>
    <row r="30" spans="1:14" ht="15" thickBot="1" x14ac:dyDescent="0.35">
      <c r="A30" s="73" t="s">
        <v>48</v>
      </c>
      <c r="B30" s="70">
        <v>76.34</v>
      </c>
      <c r="C30" s="14"/>
      <c r="D30" s="14"/>
      <c r="E30" s="14" t="s">
        <v>11</v>
      </c>
      <c r="F30" s="14" t="s">
        <v>13</v>
      </c>
      <c r="G30" s="14">
        <v>3</v>
      </c>
      <c r="H30" s="15">
        <v>66415.8</v>
      </c>
      <c r="I30" s="15">
        <v>500</v>
      </c>
      <c r="J30" s="15">
        <v>2820.7900000000004</v>
      </c>
      <c r="K30" s="16">
        <f t="shared" si="2"/>
        <v>9962.3700000000008</v>
      </c>
      <c r="L30" s="15">
        <f t="shared" si="3"/>
        <v>415.09875000000005</v>
      </c>
      <c r="M30" s="43">
        <f t="shared" si="1"/>
        <v>53132.639999999999</v>
      </c>
      <c r="N30" s="56" t="s">
        <v>18</v>
      </c>
    </row>
    <row r="31" spans="1:14" ht="15" thickBot="1" x14ac:dyDescent="0.35">
      <c r="A31" s="73" t="s">
        <v>49</v>
      </c>
      <c r="B31" s="70">
        <v>76.34</v>
      </c>
      <c r="C31" s="14"/>
      <c r="D31" s="14"/>
      <c r="E31" s="14" t="s">
        <v>11</v>
      </c>
      <c r="F31" s="14" t="s">
        <v>13</v>
      </c>
      <c r="G31" s="14">
        <v>3</v>
      </c>
      <c r="H31" s="15">
        <v>66415.8</v>
      </c>
      <c r="I31" s="15">
        <v>500</v>
      </c>
      <c r="J31" s="15">
        <v>2820.7900000000004</v>
      </c>
      <c r="K31" s="16">
        <f t="shared" si="2"/>
        <v>9962.3700000000008</v>
      </c>
      <c r="L31" s="15">
        <f t="shared" si="3"/>
        <v>415.09875000000005</v>
      </c>
      <c r="M31" s="43">
        <f t="shared" si="1"/>
        <v>53132.639999999999</v>
      </c>
      <c r="N31" s="55" t="s">
        <v>17</v>
      </c>
    </row>
    <row r="32" spans="1:14" ht="15" thickBot="1" x14ac:dyDescent="0.35">
      <c r="A32" s="73" t="s">
        <v>50</v>
      </c>
      <c r="B32" s="70">
        <v>76.34</v>
      </c>
      <c r="C32" s="14">
        <v>37.479999999999997</v>
      </c>
      <c r="D32" s="14"/>
      <c r="E32" s="14" t="s">
        <v>11</v>
      </c>
      <c r="F32" s="14" t="s">
        <v>13</v>
      </c>
      <c r="G32" s="14">
        <v>4</v>
      </c>
      <c r="H32" s="15">
        <v>75958.3</v>
      </c>
      <c r="I32" s="15">
        <v>500</v>
      </c>
      <c r="J32" s="15">
        <v>3297.9150000000004</v>
      </c>
      <c r="K32" s="16">
        <f t="shared" si="2"/>
        <v>11393.745000000001</v>
      </c>
      <c r="L32" s="15">
        <f t="shared" si="3"/>
        <v>474.73937500000005</v>
      </c>
      <c r="M32" s="43">
        <f t="shared" si="1"/>
        <v>60766.640000000007</v>
      </c>
      <c r="N32" s="55" t="s">
        <v>17</v>
      </c>
    </row>
    <row r="33" spans="1:14" ht="15" thickBot="1" x14ac:dyDescent="0.35">
      <c r="A33" s="73" t="s">
        <v>51</v>
      </c>
      <c r="B33" s="71">
        <v>76.34</v>
      </c>
      <c r="C33" s="36">
        <v>37.479999999999997</v>
      </c>
      <c r="D33" s="36"/>
      <c r="E33" s="36" t="s">
        <v>11</v>
      </c>
      <c r="F33" s="36" t="s">
        <v>13</v>
      </c>
      <c r="G33" s="36">
        <v>4</v>
      </c>
      <c r="H33" s="37">
        <v>75958.3</v>
      </c>
      <c r="I33" s="37">
        <v>500</v>
      </c>
      <c r="J33" s="37">
        <v>3297.9150000000004</v>
      </c>
      <c r="K33" s="38">
        <f t="shared" si="2"/>
        <v>11393.745000000001</v>
      </c>
      <c r="L33" s="37">
        <f t="shared" si="3"/>
        <v>474.73937500000005</v>
      </c>
      <c r="M33" s="44">
        <f t="shared" si="1"/>
        <v>60766.640000000007</v>
      </c>
      <c r="N33" s="57" t="s">
        <v>19</v>
      </c>
    </row>
    <row r="34" spans="1:14" ht="15" thickBot="1" x14ac:dyDescent="0.35">
      <c r="A34" s="73" t="s">
        <v>52</v>
      </c>
      <c r="B34" s="69">
        <v>76.34</v>
      </c>
      <c r="C34" s="30"/>
      <c r="D34" s="30">
        <v>22.29</v>
      </c>
      <c r="E34" s="30" t="s">
        <v>11</v>
      </c>
      <c r="F34" s="30" t="s">
        <v>13</v>
      </c>
      <c r="G34" s="30">
        <v>1</v>
      </c>
      <c r="H34" s="31">
        <v>75958.3</v>
      </c>
      <c r="I34" s="31">
        <v>500</v>
      </c>
      <c r="J34" s="31">
        <v>3297.9150000000004</v>
      </c>
      <c r="K34" s="32">
        <f t="shared" ref="K34:K49" si="4">+H34*15%</f>
        <v>11393.745000000001</v>
      </c>
      <c r="L34" s="31">
        <f t="shared" ref="L34:L49" si="5">+K34/24</f>
        <v>474.73937500000005</v>
      </c>
      <c r="M34" s="42">
        <f t="shared" ref="M34:M49" si="6">+H34-I34-J34-K34</f>
        <v>60766.640000000007</v>
      </c>
      <c r="N34" s="55" t="s">
        <v>17</v>
      </c>
    </row>
    <row r="35" spans="1:14" ht="15" thickBot="1" x14ac:dyDescent="0.35">
      <c r="A35" s="73" t="s">
        <v>53</v>
      </c>
      <c r="B35" s="70">
        <v>76.34</v>
      </c>
      <c r="C35" s="14"/>
      <c r="D35" s="14">
        <v>22.29</v>
      </c>
      <c r="E35" s="14" t="s">
        <v>11</v>
      </c>
      <c r="F35" s="14" t="s">
        <v>13</v>
      </c>
      <c r="G35" s="14">
        <v>1</v>
      </c>
      <c r="H35" s="15">
        <v>75958.3</v>
      </c>
      <c r="I35" s="15">
        <v>500</v>
      </c>
      <c r="J35" s="15">
        <v>3297.9150000000004</v>
      </c>
      <c r="K35" s="16">
        <f t="shared" si="4"/>
        <v>11393.745000000001</v>
      </c>
      <c r="L35" s="15">
        <f t="shared" si="5"/>
        <v>474.73937500000005</v>
      </c>
      <c r="M35" s="43">
        <f t="shared" si="6"/>
        <v>60766.640000000007</v>
      </c>
      <c r="N35" s="55" t="s">
        <v>17</v>
      </c>
    </row>
    <row r="36" spans="1:14" ht="15" thickBot="1" x14ac:dyDescent="0.35">
      <c r="A36" s="73" t="s">
        <v>54</v>
      </c>
      <c r="B36" s="70">
        <v>76.34</v>
      </c>
      <c r="C36" s="14"/>
      <c r="D36" s="14"/>
      <c r="E36" s="14" t="s">
        <v>11</v>
      </c>
      <c r="F36" s="14" t="s">
        <v>13</v>
      </c>
      <c r="G36" s="14">
        <v>2</v>
      </c>
      <c r="H36" s="15">
        <v>70232.800000000003</v>
      </c>
      <c r="I36" s="15">
        <v>500</v>
      </c>
      <c r="J36" s="15">
        <v>3011.6400000000003</v>
      </c>
      <c r="K36" s="16">
        <f t="shared" si="4"/>
        <v>10534.92</v>
      </c>
      <c r="L36" s="15">
        <f t="shared" si="5"/>
        <v>438.95499999999998</v>
      </c>
      <c r="M36" s="43">
        <f t="shared" si="6"/>
        <v>56186.240000000005</v>
      </c>
      <c r="N36" s="55" t="s">
        <v>17</v>
      </c>
    </row>
    <row r="37" spans="1:14" ht="15" thickBot="1" x14ac:dyDescent="0.35">
      <c r="A37" s="73" t="s">
        <v>55</v>
      </c>
      <c r="B37" s="70">
        <v>76.34</v>
      </c>
      <c r="C37" s="14"/>
      <c r="D37" s="14"/>
      <c r="E37" s="14" t="s">
        <v>11</v>
      </c>
      <c r="F37" s="14" t="s">
        <v>13</v>
      </c>
      <c r="G37" s="14">
        <v>2</v>
      </c>
      <c r="H37" s="15">
        <v>70232.800000000003</v>
      </c>
      <c r="I37" s="15">
        <v>500</v>
      </c>
      <c r="J37" s="15">
        <v>3011.6400000000003</v>
      </c>
      <c r="K37" s="16">
        <f t="shared" si="4"/>
        <v>10534.92</v>
      </c>
      <c r="L37" s="15">
        <f t="shared" si="5"/>
        <v>438.95499999999998</v>
      </c>
      <c r="M37" s="43">
        <f t="shared" si="6"/>
        <v>56186.240000000005</v>
      </c>
      <c r="N37" s="55" t="s">
        <v>17</v>
      </c>
    </row>
    <row r="38" spans="1:14" ht="15" thickBot="1" x14ac:dyDescent="0.35">
      <c r="A38" s="73" t="s">
        <v>56</v>
      </c>
      <c r="B38" s="70">
        <v>76.34</v>
      </c>
      <c r="C38" s="14"/>
      <c r="D38" s="14"/>
      <c r="E38" s="14" t="s">
        <v>11</v>
      </c>
      <c r="F38" s="14" t="s">
        <v>13</v>
      </c>
      <c r="G38" s="14">
        <v>3</v>
      </c>
      <c r="H38" s="15">
        <v>66415.8</v>
      </c>
      <c r="I38" s="15">
        <v>500</v>
      </c>
      <c r="J38" s="15">
        <v>2820.7900000000004</v>
      </c>
      <c r="K38" s="16">
        <f t="shared" si="4"/>
        <v>9962.3700000000008</v>
      </c>
      <c r="L38" s="15">
        <f t="shared" si="5"/>
        <v>415.09875000000005</v>
      </c>
      <c r="M38" s="43">
        <f t="shared" si="6"/>
        <v>53132.639999999999</v>
      </c>
      <c r="N38" s="55" t="s">
        <v>17</v>
      </c>
    </row>
    <row r="39" spans="1:14" ht="15" thickBot="1" x14ac:dyDescent="0.35">
      <c r="A39" s="73" t="s">
        <v>57</v>
      </c>
      <c r="B39" s="70">
        <v>76.34</v>
      </c>
      <c r="C39" s="14"/>
      <c r="D39" s="14"/>
      <c r="E39" s="14" t="s">
        <v>11</v>
      </c>
      <c r="F39" s="14" t="s">
        <v>13</v>
      </c>
      <c r="G39" s="14">
        <v>3</v>
      </c>
      <c r="H39" s="15">
        <v>66415.8</v>
      </c>
      <c r="I39" s="15">
        <v>500</v>
      </c>
      <c r="J39" s="15">
        <v>2820.7900000000004</v>
      </c>
      <c r="K39" s="16">
        <f t="shared" si="4"/>
        <v>9962.3700000000008</v>
      </c>
      <c r="L39" s="15">
        <f t="shared" si="5"/>
        <v>415.09875000000005</v>
      </c>
      <c r="M39" s="43">
        <f t="shared" si="6"/>
        <v>53132.639999999999</v>
      </c>
      <c r="N39" s="55" t="s">
        <v>17</v>
      </c>
    </row>
    <row r="40" spans="1:14" ht="15" thickBot="1" x14ac:dyDescent="0.35">
      <c r="A40" s="73" t="s">
        <v>58</v>
      </c>
      <c r="B40" s="70">
        <v>76.34</v>
      </c>
      <c r="C40" s="14">
        <v>37.479999999999997</v>
      </c>
      <c r="D40" s="14"/>
      <c r="E40" s="14" t="s">
        <v>11</v>
      </c>
      <c r="F40" s="14" t="s">
        <v>13</v>
      </c>
      <c r="G40" s="14">
        <v>4</v>
      </c>
      <c r="H40" s="15">
        <v>75958.3</v>
      </c>
      <c r="I40" s="15">
        <v>500</v>
      </c>
      <c r="J40" s="15">
        <v>3297.9150000000004</v>
      </c>
      <c r="K40" s="16">
        <f t="shared" si="4"/>
        <v>11393.745000000001</v>
      </c>
      <c r="L40" s="15">
        <f t="shared" si="5"/>
        <v>474.73937500000005</v>
      </c>
      <c r="M40" s="43">
        <f t="shared" si="6"/>
        <v>60766.640000000007</v>
      </c>
      <c r="N40" s="57" t="s">
        <v>19</v>
      </c>
    </row>
    <row r="41" spans="1:14" ht="15" thickBot="1" x14ac:dyDescent="0.35">
      <c r="A41" s="73" t="s">
        <v>59</v>
      </c>
      <c r="B41" s="71">
        <v>76.34</v>
      </c>
      <c r="C41" s="36">
        <v>37.479999999999997</v>
      </c>
      <c r="D41" s="36"/>
      <c r="E41" s="36" t="s">
        <v>11</v>
      </c>
      <c r="F41" s="36" t="s">
        <v>13</v>
      </c>
      <c r="G41" s="36">
        <v>4</v>
      </c>
      <c r="H41" s="37">
        <v>75958.3</v>
      </c>
      <c r="I41" s="37">
        <v>500</v>
      </c>
      <c r="J41" s="37">
        <v>3297.9150000000004</v>
      </c>
      <c r="K41" s="38">
        <f t="shared" si="4"/>
        <v>11393.745000000001</v>
      </c>
      <c r="L41" s="37">
        <f t="shared" si="5"/>
        <v>474.73937500000005</v>
      </c>
      <c r="M41" s="44">
        <f t="shared" si="6"/>
        <v>60766.640000000007</v>
      </c>
      <c r="N41" s="57" t="s">
        <v>19</v>
      </c>
    </row>
    <row r="42" spans="1:14" ht="15" thickBot="1" x14ac:dyDescent="0.35">
      <c r="A42" s="73" t="s">
        <v>60</v>
      </c>
      <c r="B42" s="69">
        <v>76.34</v>
      </c>
      <c r="C42" s="30"/>
      <c r="D42" s="30">
        <v>22.29</v>
      </c>
      <c r="E42" s="30" t="s">
        <v>11</v>
      </c>
      <c r="F42" s="30" t="s">
        <v>13</v>
      </c>
      <c r="G42" s="30">
        <v>1</v>
      </c>
      <c r="H42" s="31">
        <v>75958.3</v>
      </c>
      <c r="I42" s="31">
        <v>500</v>
      </c>
      <c r="J42" s="31">
        <v>3297.9150000000004</v>
      </c>
      <c r="K42" s="32">
        <f t="shared" si="4"/>
        <v>11393.745000000001</v>
      </c>
      <c r="L42" s="31">
        <f t="shared" si="5"/>
        <v>474.73937500000005</v>
      </c>
      <c r="M42" s="42">
        <f t="shared" si="6"/>
        <v>60766.640000000007</v>
      </c>
      <c r="N42" s="55" t="s">
        <v>17</v>
      </c>
    </row>
    <row r="43" spans="1:14" ht="15" thickBot="1" x14ac:dyDescent="0.35">
      <c r="A43" s="73" t="s">
        <v>61</v>
      </c>
      <c r="B43" s="70">
        <v>76.34</v>
      </c>
      <c r="C43" s="14"/>
      <c r="D43" s="14">
        <v>22.29</v>
      </c>
      <c r="E43" s="14" t="s">
        <v>11</v>
      </c>
      <c r="F43" s="14" t="s">
        <v>13</v>
      </c>
      <c r="G43" s="14">
        <v>1</v>
      </c>
      <c r="H43" s="15">
        <v>75958.3</v>
      </c>
      <c r="I43" s="15">
        <v>500</v>
      </c>
      <c r="J43" s="15">
        <v>3297.9150000000004</v>
      </c>
      <c r="K43" s="16">
        <f t="shared" si="4"/>
        <v>11393.745000000001</v>
      </c>
      <c r="L43" s="15">
        <f t="shared" si="5"/>
        <v>474.73937500000005</v>
      </c>
      <c r="M43" s="43">
        <f t="shared" si="6"/>
        <v>60766.640000000007</v>
      </c>
      <c r="N43" s="55" t="s">
        <v>17</v>
      </c>
    </row>
    <row r="44" spans="1:14" ht="15" thickBot="1" x14ac:dyDescent="0.35">
      <c r="A44" s="73" t="s">
        <v>62</v>
      </c>
      <c r="B44" s="70">
        <v>76.34</v>
      </c>
      <c r="C44" s="14"/>
      <c r="D44" s="14"/>
      <c r="E44" s="14" t="s">
        <v>11</v>
      </c>
      <c r="F44" s="14" t="s">
        <v>13</v>
      </c>
      <c r="G44" s="14">
        <v>2</v>
      </c>
      <c r="H44" s="15">
        <v>70232.800000000003</v>
      </c>
      <c r="I44" s="15">
        <v>500</v>
      </c>
      <c r="J44" s="15">
        <v>3011.6400000000003</v>
      </c>
      <c r="K44" s="16">
        <f t="shared" si="4"/>
        <v>10534.92</v>
      </c>
      <c r="L44" s="15">
        <f t="shared" si="5"/>
        <v>438.95499999999998</v>
      </c>
      <c r="M44" s="43">
        <f t="shared" si="6"/>
        <v>56186.240000000005</v>
      </c>
      <c r="N44" s="56" t="s">
        <v>18</v>
      </c>
    </row>
    <row r="45" spans="1:14" ht="15" thickBot="1" x14ac:dyDescent="0.35">
      <c r="A45" s="73" t="s">
        <v>63</v>
      </c>
      <c r="B45" s="70">
        <v>76.34</v>
      </c>
      <c r="C45" s="14"/>
      <c r="D45" s="14"/>
      <c r="E45" s="14" t="s">
        <v>11</v>
      </c>
      <c r="F45" s="14" t="s">
        <v>13</v>
      </c>
      <c r="G45" s="14">
        <v>2</v>
      </c>
      <c r="H45" s="15">
        <v>70232.800000000003</v>
      </c>
      <c r="I45" s="15">
        <v>500</v>
      </c>
      <c r="J45" s="15">
        <v>3011.6400000000003</v>
      </c>
      <c r="K45" s="16">
        <f t="shared" si="4"/>
        <v>10534.92</v>
      </c>
      <c r="L45" s="15">
        <f t="shared" si="5"/>
        <v>438.95499999999998</v>
      </c>
      <c r="M45" s="43">
        <f t="shared" si="6"/>
        <v>56186.240000000005</v>
      </c>
      <c r="N45" s="56" t="s">
        <v>18</v>
      </c>
    </row>
    <row r="46" spans="1:14" ht="15" thickBot="1" x14ac:dyDescent="0.35">
      <c r="A46" s="73" t="s">
        <v>64</v>
      </c>
      <c r="B46" s="70">
        <v>76.34</v>
      </c>
      <c r="C46" s="14"/>
      <c r="D46" s="14"/>
      <c r="E46" s="14" t="s">
        <v>11</v>
      </c>
      <c r="F46" s="14" t="s">
        <v>13</v>
      </c>
      <c r="G46" s="14">
        <v>3</v>
      </c>
      <c r="H46" s="15">
        <v>66415.8</v>
      </c>
      <c r="I46" s="15">
        <v>500</v>
      </c>
      <c r="J46" s="15">
        <v>2820.7900000000004</v>
      </c>
      <c r="K46" s="16">
        <f t="shared" si="4"/>
        <v>9962.3700000000008</v>
      </c>
      <c r="L46" s="15">
        <f t="shared" si="5"/>
        <v>415.09875000000005</v>
      </c>
      <c r="M46" s="43">
        <f t="shared" si="6"/>
        <v>53132.639999999999</v>
      </c>
      <c r="N46" s="55" t="s">
        <v>17</v>
      </c>
    </row>
    <row r="47" spans="1:14" ht="15" thickBot="1" x14ac:dyDescent="0.35">
      <c r="A47" s="73" t="s">
        <v>65</v>
      </c>
      <c r="B47" s="70">
        <v>76.34</v>
      </c>
      <c r="C47" s="14"/>
      <c r="D47" s="14"/>
      <c r="E47" s="14" t="s">
        <v>11</v>
      </c>
      <c r="F47" s="14" t="s">
        <v>13</v>
      </c>
      <c r="G47" s="14">
        <v>3</v>
      </c>
      <c r="H47" s="15">
        <v>66415.8</v>
      </c>
      <c r="I47" s="15">
        <v>500</v>
      </c>
      <c r="J47" s="15">
        <v>2820.7900000000004</v>
      </c>
      <c r="K47" s="16">
        <f t="shared" si="4"/>
        <v>9962.3700000000008</v>
      </c>
      <c r="L47" s="15">
        <f t="shared" si="5"/>
        <v>415.09875000000005</v>
      </c>
      <c r="M47" s="43">
        <f t="shared" si="6"/>
        <v>53132.639999999999</v>
      </c>
      <c r="N47" s="55" t="s">
        <v>17</v>
      </c>
    </row>
    <row r="48" spans="1:14" ht="15" thickBot="1" x14ac:dyDescent="0.35">
      <c r="A48" s="73" t="s">
        <v>66</v>
      </c>
      <c r="B48" s="70">
        <v>76.34</v>
      </c>
      <c r="C48" s="14">
        <v>37.479999999999997</v>
      </c>
      <c r="D48" s="14"/>
      <c r="E48" s="14" t="s">
        <v>11</v>
      </c>
      <c r="F48" s="14" t="s">
        <v>13</v>
      </c>
      <c r="G48" s="14">
        <v>4</v>
      </c>
      <c r="H48" s="15">
        <v>75958.3</v>
      </c>
      <c r="I48" s="15">
        <v>500</v>
      </c>
      <c r="J48" s="15">
        <v>3297.9150000000004</v>
      </c>
      <c r="K48" s="16">
        <f t="shared" si="4"/>
        <v>11393.745000000001</v>
      </c>
      <c r="L48" s="15">
        <f t="shared" si="5"/>
        <v>474.73937500000005</v>
      </c>
      <c r="M48" s="43">
        <f t="shared" si="6"/>
        <v>60766.640000000007</v>
      </c>
      <c r="N48" s="56" t="s">
        <v>18</v>
      </c>
    </row>
    <row r="49" spans="1:14" ht="15" thickBot="1" x14ac:dyDescent="0.35">
      <c r="A49" s="73" t="s">
        <v>67</v>
      </c>
      <c r="B49" s="71">
        <v>76.34</v>
      </c>
      <c r="C49" s="36">
        <v>37.479999999999997</v>
      </c>
      <c r="D49" s="36"/>
      <c r="E49" s="36" t="s">
        <v>11</v>
      </c>
      <c r="F49" s="36" t="s">
        <v>13</v>
      </c>
      <c r="G49" s="36">
        <v>4</v>
      </c>
      <c r="H49" s="37">
        <v>75958.3</v>
      </c>
      <c r="I49" s="37">
        <v>500</v>
      </c>
      <c r="J49" s="37">
        <v>3297.9150000000004</v>
      </c>
      <c r="K49" s="38">
        <f t="shared" si="4"/>
        <v>11393.745000000001</v>
      </c>
      <c r="L49" s="37">
        <f t="shared" si="5"/>
        <v>474.73937500000005</v>
      </c>
      <c r="M49" s="44">
        <f t="shared" si="6"/>
        <v>60766.640000000007</v>
      </c>
      <c r="N49" s="55" t="s">
        <v>17</v>
      </c>
    </row>
    <row r="50" spans="1:14" x14ac:dyDescent="0.3">
      <c r="A50" s="73" t="s">
        <v>68</v>
      </c>
      <c r="B50" s="66">
        <v>82.09</v>
      </c>
      <c r="C50" s="22"/>
      <c r="D50" s="22"/>
      <c r="E50" s="22" t="s">
        <v>12</v>
      </c>
      <c r="F50" s="22" t="s">
        <v>12</v>
      </c>
      <c r="G50" s="22">
        <v>1</v>
      </c>
      <c r="H50" s="23">
        <v>75933.25</v>
      </c>
      <c r="I50" s="23">
        <v>500</v>
      </c>
      <c r="J50" s="23">
        <v>3296.6625000000004</v>
      </c>
      <c r="K50" s="24">
        <v>11389.987499999999</v>
      </c>
      <c r="L50" s="23">
        <v>474.58281249999999</v>
      </c>
      <c r="M50" s="28">
        <f t="shared" ref="M50:M65" si="7">+H50-K50-I50-J50</f>
        <v>60746.6</v>
      </c>
      <c r="N50" s="51" t="s">
        <v>17</v>
      </c>
    </row>
    <row r="51" spans="1:14" x14ac:dyDescent="0.3">
      <c r="A51" s="73" t="s">
        <v>69</v>
      </c>
      <c r="B51" s="67">
        <v>82.09</v>
      </c>
      <c r="C51" s="7"/>
      <c r="D51" s="7"/>
      <c r="E51" s="7" t="s">
        <v>12</v>
      </c>
      <c r="F51" s="7" t="s">
        <v>12</v>
      </c>
      <c r="G51" s="7">
        <v>1</v>
      </c>
      <c r="H51" s="8">
        <v>75933.25</v>
      </c>
      <c r="I51" s="8">
        <v>500</v>
      </c>
      <c r="J51" s="8">
        <v>3296.6625000000004</v>
      </c>
      <c r="K51" s="9">
        <v>11389.987499999999</v>
      </c>
      <c r="L51" s="8">
        <v>474.58281249999999</v>
      </c>
      <c r="M51" s="18">
        <f t="shared" si="7"/>
        <v>60746.6</v>
      </c>
      <c r="N51" s="51" t="s">
        <v>17</v>
      </c>
    </row>
    <row r="52" spans="1:14" x14ac:dyDescent="0.3">
      <c r="A52" s="73" t="s">
        <v>70</v>
      </c>
      <c r="B52" s="67">
        <v>85.98</v>
      </c>
      <c r="C52" s="7"/>
      <c r="D52" s="7"/>
      <c r="E52" s="7" t="s">
        <v>12</v>
      </c>
      <c r="F52" s="7" t="s">
        <v>12</v>
      </c>
      <c r="G52" s="7">
        <v>1</v>
      </c>
      <c r="H52" s="8">
        <v>79531.5</v>
      </c>
      <c r="I52" s="8">
        <v>500</v>
      </c>
      <c r="J52" s="8">
        <v>3476.5750000000003</v>
      </c>
      <c r="K52" s="9">
        <v>11929.725</v>
      </c>
      <c r="L52" s="8">
        <v>497.07187500000003</v>
      </c>
      <c r="M52" s="18">
        <f t="shared" si="7"/>
        <v>63625.2</v>
      </c>
      <c r="N52" s="51" t="s">
        <v>17</v>
      </c>
    </row>
    <row r="53" spans="1:14" x14ac:dyDescent="0.3">
      <c r="A53" s="73" t="s">
        <v>71</v>
      </c>
      <c r="B53" s="67">
        <v>85.98</v>
      </c>
      <c r="C53" s="7"/>
      <c r="D53" s="7"/>
      <c r="E53" s="7" t="s">
        <v>12</v>
      </c>
      <c r="F53" s="7" t="s">
        <v>12</v>
      </c>
      <c r="G53" s="7">
        <v>1</v>
      </c>
      <c r="H53" s="8">
        <v>79531.5</v>
      </c>
      <c r="I53" s="8">
        <v>500</v>
      </c>
      <c r="J53" s="8">
        <v>3476.5750000000003</v>
      </c>
      <c r="K53" s="9">
        <v>11929.725</v>
      </c>
      <c r="L53" s="8">
        <v>497.07187500000003</v>
      </c>
      <c r="M53" s="18">
        <f t="shared" si="7"/>
        <v>63625.2</v>
      </c>
      <c r="N53" s="51" t="s">
        <v>17</v>
      </c>
    </row>
    <row r="54" spans="1:14" x14ac:dyDescent="0.3">
      <c r="A54" s="73" t="s">
        <v>72</v>
      </c>
      <c r="B54" s="67">
        <v>82.09</v>
      </c>
      <c r="C54" s="7"/>
      <c r="D54" s="7"/>
      <c r="E54" s="7" t="s">
        <v>12</v>
      </c>
      <c r="F54" s="7" t="s">
        <v>12</v>
      </c>
      <c r="G54" s="7">
        <v>2</v>
      </c>
      <c r="H54" s="8">
        <v>75522.8</v>
      </c>
      <c r="I54" s="8">
        <v>500</v>
      </c>
      <c r="J54" s="8">
        <v>3276.1400000000003</v>
      </c>
      <c r="K54" s="9">
        <v>11328.42</v>
      </c>
      <c r="L54" s="8">
        <v>472.01749999999998</v>
      </c>
      <c r="M54" s="18">
        <f t="shared" si="7"/>
        <v>60418.240000000005</v>
      </c>
      <c r="N54" s="51" t="s">
        <v>17</v>
      </c>
    </row>
    <row r="55" spans="1:14" x14ac:dyDescent="0.3">
      <c r="A55" s="73" t="s">
        <v>73</v>
      </c>
      <c r="B55" s="67">
        <v>82.09</v>
      </c>
      <c r="C55" s="7"/>
      <c r="D55" s="7"/>
      <c r="E55" s="7" t="s">
        <v>12</v>
      </c>
      <c r="F55" s="7" t="s">
        <v>12</v>
      </c>
      <c r="G55" s="7">
        <v>2</v>
      </c>
      <c r="H55" s="8">
        <v>75522.8</v>
      </c>
      <c r="I55" s="8">
        <v>500</v>
      </c>
      <c r="J55" s="8">
        <v>3276.1400000000003</v>
      </c>
      <c r="K55" s="9">
        <v>11328.42</v>
      </c>
      <c r="L55" s="8">
        <v>472.01749999999998</v>
      </c>
      <c r="M55" s="18">
        <f t="shared" si="7"/>
        <v>60418.240000000005</v>
      </c>
      <c r="N55" s="51" t="s">
        <v>17</v>
      </c>
    </row>
    <row r="56" spans="1:14" x14ac:dyDescent="0.3">
      <c r="A56" s="73" t="s">
        <v>74</v>
      </c>
      <c r="B56" s="67">
        <v>85.98</v>
      </c>
      <c r="C56" s="7"/>
      <c r="D56" s="7"/>
      <c r="E56" s="7" t="s">
        <v>12</v>
      </c>
      <c r="F56" s="7" t="s">
        <v>12</v>
      </c>
      <c r="G56" s="7">
        <v>2</v>
      </c>
      <c r="H56" s="8">
        <v>79101.600000000006</v>
      </c>
      <c r="I56" s="8">
        <v>500</v>
      </c>
      <c r="J56" s="8">
        <v>3455.0800000000004</v>
      </c>
      <c r="K56" s="9">
        <v>11865.24</v>
      </c>
      <c r="L56" s="8">
        <v>494.38499999999999</v>
      </c>
      <c r="M56" s="18">
        <f t="shared" si="7"/>
        <v>63281.279999999999</v>
      </c>
      <c r="N56" s="51" t="s">
        <v>17</v>
      </c>
    </row>
    <row r="57" spans="1:14" x14ac:dyDescent="0.3">
      <c r="A57" s="73" t="s">
        <v>75</v>
      </c>
      <c r="B57" s="67">
        <v>85.98</v>
      </c>
      <c r="C57" s="7"/>
      <c r="D57" s="7"/>
      <c r="E57" s="7" t="s">
        <v>12</v>
      </c>
      <c r="F57" s="7" t="s">
        <v>12</v>
      </c>
      <c r="G57" s="7">
        <v>2</v>
      </c>
      <c r="H57" s="8">
        <v>79101.600000000006</v>
      </c>
      <c r="I57" s="8">
        <v>500</v>
      </c>
      <c r="J57" s="8">
        <v>3455.0800000000004</v>
      </c>
      <c r="K57" s="9">
        <v>11865.24</v>
      </c>
      <c r="L57" s="8">
        <v>494.38499999999999</v>
      </c>
      <c r="M57" s="18">
        <f t="shared" si="7"/>
        <v>63281.279999999999</v>
      </c>
      <c r="N57" s="51" t="s">
        <v>17</v>
      </c>
    </row>
    <row r="58" spans="1:14" x14ac:dyDescent="0.3">
      <c r="A58" s="73" t="s">
        <v>76</v>
      </c>
      <c r="B58" s="67">
        <v>82.09</v>
      </c>
      <c r="C58" s="7"/>
      <c r="D58" s="7"/>
      <c r="E58" s="7" t="s">
        <v>12</v>
      </c>
      <c r="F58" s="7" t="s">
        <v>12</v>
      </c>
      <c r="G58" s="7">
        <v>3</v>
      </c>
      <c r="H58" s="8">
        <v>71418.3</v>
      </c>
      <c r="I58" s="8">
        <v>500</v>
      </c>
      <c r="J58" s="8">
        <v>3070.9150000000004</v>
      </c>
      <c r="K58" s="9">
        <v>10712.745000000001</v>
      </c>
      <c r="L58" s="8">
        <v>446.36437500000005</v>
      </c>
      <c r="M58" s="18">
        <f t="shared" si="7"/>
        <v>57134.64</v>
      </c>
      <c r="N58" s="51" t="s">
        <v>17</v>
      </c>
    </row>
    <row r="59" spans="1:14" x14ac:dyDescent="0.3">
      <c r="A59" s="73" t="s">
        <v>77</v>
      </c>
      <c r="B59" s="67">
        <v>82.09</v>
      </c>
      <c r="C59" s="7"/>
      <c r="D59" s="7"/>
      <c r="E59" s="7" t="s">
        <v>12</v>
      </c>
      <c r="F59" s="7" t="s">
        <v>12</v>
      </c>
      <c r="G59" s="7">
        <v>3</v>
      </c>
      <c r="H59" s="8">
        <v>71418.3</v>
      </c>
      <c r="I59" s="8">
        <v>500</v>
      </c>
      <c r="J59" s="8">
        <v>3070.9150000000004</v>
      </c>
      <c r="K59" s="9">
        <v>10712.745000000001</v>
      </c>
      <c r="L59" s="8">
        <v>446.36437500000005</v>
      </c>
      <c r="M59" s="18">
        <f t="shared" si="7"/>
        <v>57134.64</v>
      </c>
      <c r="N59" s="51" t="s">
        <v>17</v>
      </c>
    </row>
    <row r="60" spans="1:14" x14ac:dyDescent="0.3">
      <c r="A60" s="73" t="s">
        <v>78</v>
      </c>
      <c r="B60" s="67">
        <v>85.98</v>
      </c>
      <c r="C60" s="7"/>
      <c r="D60" s="7"/>
      <c r="E60" s="7" t="s">
        <v>12</v>
      </c>
      <c r="F60" s="7" t="s">
        <v>12</v>
      </c>
      <c r="G60" s="7">
        <v>3</v>
      </c>
      <c r="H60" s="8">
        <v>74802.600000000006</v>
      </c>
      <c r="I60" s="8">
        <v>500</v>
      </c>
      <c r="J60" s="8">
        <v>3240.1300000000006</v>
      </c>
      <c r="K60" s="9">
        <v>11220.390000000001</v>
      </c>
      <c r="L60" s="8">
        <v>467.51625000000007</v>
      </c>
      <c r="M60" s="18">
        <f t="shared" si="7"/>
        <v>59842.080000000009</v>
      </c>
      <c r="N60" s="51" t="s">
        <v>17</v>
      </c>
    </row>
    <row r="61" spans="1:14" x14ac:dyDescent="0.3">
      <c r="A61" s="73" t="s">
        <v>79</v>
      </c>
      <c r="B61" s="67">
        <v>85.98</v>
      </c>
      <c r="C61" s="7"/>
      <c r="D61" s="7"/>
      <c r="E61" s="7" t="s">
        <v>12</v>
      </c>
      <c r="F61" s="7" t="s">
        <v>12</v>
      </c>
      <c r="G61" s="7">
        <v>3</v>
      </c>
      <c r="H61" s="8">
        <v>74802.600000000006</v>
      </c>
      <c r="I61" s="8">
        <v>500</v>
      </c>
      <c r="J61" s="8">
        <v>3240.1300000000006</v>
      </c>
      <c r="K61" s="9">
        <v>11220.390000000001</v>
      </c>
      <c r="L61" s="8">
        <v>467.51625000000007</v>
      </c>
      <c r="M61" s="18">
        <f t="shared" si="7"/>
        <v>59842.080000000009</v>
      </c>
      <c r="N61" s="51" t="s">
        <v>17</v>
      </c>
    </row>
    <row r="62" spans="1:14" x14ac:dyDescent="0.3">
      <c r="A62" s="73" t="s">
        <v>80</v>
      </c>
      <c r="B62" s="67">
        <v>82.09</v>
      </c>
      <c r="C62" s="7">
        <v>46.1</v>
      </c>
      <c r="D62" s="7"/>
      <c r="E62" s="7" t="s">
        <v>12</v>
      </c>
      <c r="F62" s="7" t="s">
        <v>12</v>
      </c>
      <c r="G62" s="7">
        <v>4</v>
      </c>
      <c r="H62" s="8">
        <v>81679.55</v>
      </c>
      <c r="I62" s="8">
        <v>500</v>
      </c>
      <c r="J62" s="8">
        <v>3583.9775000000004</v>
      </c>
      <c r="K62" s="9">
        <v>12251.932500000001</v>
      </c>
      <c r="L62" s="8">
        <v>510.49718750000005</v>
      </c>
      <c r="M62" s="18">
        <f t="shared" si="7"/>
        <v>65343.640000000007</v>
      </c>
      <c r="N62" s="51" t="s">
        <v>17</v>
      </c>
    </row>
    <row r="63" spans="1:14" x14ac:dyDescent="0.3">
      <c r="A63" s="73" t="s">
        <v>81</v>
      </c>
      <c r="B63" s="67">
        <v>82.09</v>
      </c>
      <c r="C63" s="7">
        <v>46.1</v>
      </c>
      <c r="D63" s="7"/>
      <c r="E63" s="7" t="s">
        <v>12</v>
      </c>
      <c r="F63" s="7" t="s">
        <v>12</v>
      </c>
      <c r="G63" s="7">
        <v>4</v>
      </c>
      <c r="H63" s="8">
        <v>81679.55</v>
      </c>
      <c r="I63" s="8">
        <v>500</v>
      </c>
      <c r="J63" s="8">
        <v>3583.9775000000004</v>
      </c>
      <c r="K63" s="9">
        <v>12251.932500000001</v>
      </c>
      <c r="L63" s="8">
        <v>510.49718750000005</v>
      </c>
      <c r="M63" s="19">
        <f t="shared" si="7"/>
        <v>65343.640000000007</v>
      </c>
      <c r="N63" s="58" t="s">
        <v>17</v>
      </c>
    </row>
    <row r="64" spans="1:14" x14ac:dyDescent="0.3">
      <c r="A64" s="73" t="s">
        <v>82</v>
      </c>
      <c r="B64" s="67">
        <v>85.98</v>
      </c>
      <c r="C64" s="7">
        <v>48.6</v>
      </c>
      <c r="D64" s="7"/>
      <c r="E64" s="7" t="s">
        <v>12</v>
      </c>
      <c r="F64" s="7" t="s">
        <v>12</v>
      </c>
      <c r="G64" s="7">
        <v>4</v>
      </c>
      <c r="H64" s="8">
        <v>85550.1</v>
      </c>
      <c r="I64" s="8">
        <v>500</v>
      </c>
      <c r="J64" s="8">
        <v>3777.5050000000001</v>
      </c>
      <c r="K64" s="9">
        <v>12832.515000000001</v>
      </c>
      <c r="L64" s="8">
        <v>534.68812500000001</v>
      </c>
      <c r="M64" s="20">
        <f t="shared" si="7"/>
        <v>68440.08</v>
      </c>
      <c r="N64" s="59" t="s">
        <v>17</v>
      </c>
    </row>
    <row r="65" spans="1:14" ht="15" thickBot="1" x14ac:dyDescent="0.35">
      <c r="A65" s="73" t="s">
        <v>83</v>
      </c>
      <c r="B65" s="68">
        <v>85.98</v>
      </c>
      <c r="C65" s="11">
        <v>48.6</v>
      </c>
      <c r="D65" s="11"/>
      <c r="E65" s="11" t="s">
        <v>12</v>
      </c>
      <c r="F65" s="11" t="s">
        <v>12</v>
      </c>
      <c r="G65" s="11">
        <v>4</v>
      </c>
      <c r="H65" s="12">
        <v>85550.1</v>
      </c>
      <c r="I65" s="12">
        <v>500</v>
      </c>
      <c r="J65" s="12">
        <v>3777.5050000000001</v>
      </c>
      <c r="K65" s="13">
        <v>12832.515000000001</v>
      </c>
      <c r="L65" s="12">
        <v>534.68812500000001</v>
      </c>
      <c r="M65" s="39">
        <f t="shared" si="7"/>
        <v>68440.08</v>
      </c>
      <c r="N65" s="59" t="s">
        <v>17</v>
      </c>
    </row>
    <row r="66" spans="1:14" ht="15" thickBot="1" x14ac:dyDescent="0.35">
      <c r="A66" s="73" t="s">
        <v>84</v>
      </c>
      <c r="B66" s="69">
        <v>82.09</v>
      </c>
      <c r="C66" s="30"/>
      <c r="D66" s="30"/>
      <c r="E66" s="30" t="s">
        <v>12</v>
      </c>
      <c r="F66" s="30" t="s">
        <v>12</v>
      </c>
      <c r="G66" s="30">
        <v>1</v>
      </c>
      <c r="H66" s="31">
        <v>75933.25</v>
      </c>
      <c r="I66" s="31">
        <v>500</v>
      </c>
      <c r="J66" s="31">
        <v>3296.6625000000004</v>
      </c>
      <c r="K66" s="32">
        <f t="shared" ref="K66:K81" si="8">+H66*15%</f>
        <v>11389.987499999999</v>
      </c>
      <c r="L66" s="31">
        <f t="shared" ref="L66:L81" si="9">+K66/24</f>
        <v>474.58281249999999</v>
      </c>
      <c r="M66" s="42">
        <f t="shared" ref="M66:M81" si="10">+H66-I66-J66-K66</f>
        <v>60746.599999999991</v>
      </c>
      <c r="N66" s="55" t="s">
        <v>17</v>
      </c>
    </row>
    <row r="67" spans="1:14" ht="15" thickBot="1" x14ac:dyDescent="0.35">
      <c r="A67" s="73" t="s">
        <v>85</v>
      </c>
      <c r="B67" s="70">
        <v>82.09</v>
      </c>
      <c r="C67" s="14"/>
      <c r="D67" s="14"/>
      <c r="E67" s="14" t="s">
        <v>12</v>
      </c>
      <c r="F67" s="14" t="s">
        <v>12</v>
      </c>
      <c r="G67" s="14">
        <v>1</v>
      </c>
      <c r="H67" s="15">
        <v>75933.25</v>
      </c>
      <c r="I67" s="15">
        <v>500</v>
      </c>
      <c r="J67" s="15">
        <v>3296.6625000000004</v>
      </c>
      <c r="K67" s="16">
        <f t="shared" si="8"/>
        <v>11389.987499999999</v>
      </c>
      <c r="L67" s="15">
        <f t="shared" si="9"/>
        <v>474.58281249999999</v>
      </c>
      <c r="M67" s="43">
        <f t="shared" si="10"/>
        <v>60746.599999999991</v>
      </c>
      <c r="N67" s="55" t="s">
        <v>17</v>
      </c>
    </row>
    <row r="68" spans="1:14" ht="15" thickBot="1" x14ac:dyDescent="0.35">
      <c r="A68" s="73" t="s">
        <v>86</v>
      </c>
      <c r="B68" s="70">
        <v>85.98</v>
      </c>
      <c r="C68" s="14"/>
      <c r="D68" s="14"/>
      <c r="E68" s="14" t="s">
        <v>12</v>
      </c>
      <c r="F68" s="14" t="s">
        <v>12</v>
      </c>
      <c r="G68" s="14">
        <v>1</v>
      </c>
      <c r="H68" s="15">
        <v>79531.5</v>
      </c>
      <c r="I68" s="15">
        <v>500</v>
      </c>
      <c r="J68" s="15">
        <v>3476.5750000000003</v>
      </c>
      <c r="K68" s="16">
        <f t="shared" si="8"/>
        <v>11929.725</v>
      </c>
      <c r="L68" s="15">
        <f t="shared" si="9"/>
        <v>497.07187500000003</v>
      </c>
      <c r="M68" s="43">
        <f t="shared" si="10"/>
        <v>63625.200000000004</v>
      </c>
      <c r="N68" s="55" t="s">
        <v>17</v>
      </c>
    </row>
    <row r="69" spans="1:14" ht="15" thickBot="1" x14ac:dyDescent="0.35">
      <c r="A69" s="73" t="s">
        <v>87</v>
      </c>
      <c r="B69" s="70">
        <v>85.98</v>
      </c>
      <c r="C69" s="14"/>
      <c r="D69" s="14"/>
      <c r="E69" s="14" t="s">
        <v>12</v>
      </c>
      <c r="F69" s="14" t="s">
        <v>12</v>
      </c>
      <c r="G69" s="14">
        <v>1</v>
      </c>
      <c r="H69" s="15">
        <v>79531.5</v>
      </c>
      <c r="I69" s="15">
        <v>500</v>
      </c>
      <c r="J69" s="15">
        <v>3476.5750000000003</v>
      </c>
      <c r="K69" s="16">
        <f t="shared" si="8"/>
        <v>11929.725</v>
      </c>
      <c r="L69" s="15">
        <f t="shared" si="9"/>
        <v>497.07187500000003</v>
      </c>
      <c r="M69" s="43">
        <f t="shared" si="10"/>
        <v>63625.200000000004</v>
      </c>
      <c r="N69" s="60" t="s">
        <v>19</v>
      </c>
    </row>
    <row r="70" spans="1:14" ht="15" thickBot="1" x14ac:dyDescent="0.35">
      <c r="A70" s="73" t="s">
        <v>88</v>
      </c>
      <c r="B70" s="70">
        <f>B66</f>
        <v>82.09</v>
      </c>
      <c r="C70" s="14"/>
      <c r="D70" s="14"/>
      <c r="E70" s="14" t="s">
        <v>12</v>
      </c>
      <c r="F70" s="14" t="s">
        <v>12</v>
      </c>
      <c r="G70" s="14">
        <f>G66+1</f>
        <v>2</v>
      </c>
      <c r="H70" s="15">
        <v>75522.8</v>
      </c>
      <c r="I70" s="15">
        <v>500</v>
      </c>
      <c r="J70" s="15">
        <v>3276.1400000000003</v>
      </c>
      <c r="K70" s="16">
        <f t="shared" si="8"/>
        <v>11328.42</v>
      </c>
      <c r="L70" s="15">
        <f t="shared" si="9"/>
        <v>472.01749999999998</v>
      </c>
      <c r="M70" s="43">
        <f t="shared" si="10"/>
        <v>60418.240000000005</v>
      </c>
      <c r="N70" s="55" t="s">
        <v>17</v>
      </c>
    </row>
    <row r="71" spans="1:14" ht="15" thickBot="1" x14ac:dyDescent="0.35">
      <c r="A71" s="73" t="s">
        <v>89</v>
      </c>
      <c r="B71" s="70">
        <f t="shared" ref="B71:B81" si="11">B67</f>
        <v>82.09</v>
      </c>
      <c r="C71" s="14"/>
      <c r="D71" s="14"/>
      <c r="E71" s="14" t="s">
        <v>12</v>
      </c>
      <c r="F71" s="14" t="s">
        <v>12</v>
      </c>
      <c r="G71" s="14">
        <f t="shared" ref="G71:G81" si="12">G67+1</f>
        <v>2</v>
      </c>
      <c r="H71" s="15">
        <v>75522.8</v>
      </c>
      <c r="I71" s="15">
        <v>500</v>
      </c>
      <c r="J71" s="15">
        <v>3276.1400000000003</v>
      </c>
      <c r="K71" s="16">
        <f t="shared" si="8"/>
        <v>11328.42</v>
      </c>
      <c r="L71" s="15">
        <f t="shared" si="9"/>
        <v>472.01749999999998</v>
      </c>
      <c r="M71" s="43">
        <f t="shared" si="10"/>
        <v>60418.240000000005</v>
      </c>
      <c r="N71" s="55" t="s">
        <v>17</v>
      </c>
    </row>
    <row r="72" spans="1:14" ht="15" thickBot="1" x14ac:dyDescent="0.35">
      <c r="A72" s="73" t="s">
        <v>90</v>
      </c>
      <c r="B72" s="70">
        <f t="shared" si="11"/>
        <v>85.98</v>
      </c>
      <c r="C72" s="14"/>
      <c r="D72" s="14"/>
      <c r="E72" s="14" t="s">
        <v>12</v>
      </c>
      <c r="F72" s="14" t="s">
        <v>12</v>
      </c>
      <c r="G72" s="14">
        <f t="shared" si="12"/>
        <v>2</v>
      </c>
      <c r="H72" s="15">
        <v>79101.600000000006</v>
      </c>
      <c r="I72" s="15">
        <v>500</v>
      </c>
      <c r="J72" s="15">
        <v>3455.0800000000004</v>
      </c>
      <c r="K72" s="16">
        <f t="shared" si="8"/>
        <v>11865.24</v>
      </c>
      <c r="L72" s="15">
        <f t="shared" si="9"/>
        <v>494.38499999999999</v>
      </c>
      <c r="M72" s="43">
        <f t="shared" si="10"/>
        <v>63281.280000000006</v>
      </c>
      <c r="N72" s="55" t="s">
        <v>17</v>
      </c>
    </row>
    <row r="73" spans="1:14" ht="15" thickBot="1" x14ac:dyDescent="0.35">
      <c r="A73" s="73" t="s">
        <v>91</v>
      </c>
      <c r="B73" s="70">
        <f t="shared" si="11"/>
        <v>85.98</v>
      </c>
      <c r="C73" s="14"/>
      <c r="D73" s="14"/>
      <c r="E73" s="14" t="s">
        <v>12</v>
      </c>
      <c r="F73" s="14" t="s">
        <v>12</v>
      </c>
      <c r="G73" s="14">
        <f t="shared" si="12"/>
        <v>2</v>
      </c>
      <c r="H73" s="15">
        <v>79101.600000000006</v>
      </c>
      <c r="I73" s="15">
        <v>500</v>
      </c>
      <c r="J73" s="15">
        <v>3455.0800000000004</v>
      </c>
      <c r="K73" s="16">
        <f t="shared" si="8"/>
        <v>11865.24</v>
      </c>
      <c r="L73" s="15">
        <f t="shared" si="9"/>
        <v>494.38499999999999</v>
      </c>
      <c r="M73" s="43">
        <f t="shared" si="10"/>
        <v>63281.280000000006</v>
      </c>
      <c r="N73" s="55" t="s">
        <v>17</v>
      </c>
    </row>
    <row r="74" spans="1:14" ht="15" thickBot="1" x14ac:dyDescent="0.35">
      <c r="A74" s="73" t="s">
        <v>92</v>
      </c>
      <c r="B74" s="70">
        <f t="shared" si="11"/>
        <v>82.09</v>
      </c>
      <c r="C74" s="14"/>
      <c r="D74" s="14"/>
      <c r="E74" s="14" t="s">
        <v>12</v>
      </c>
      <c r="F74" s="14" t="s">
        <v>12</v>
      </c>
      <c r="G74" s="14">
        <f t="shared" si="12"/>
        <v>3</v>
      </c>
      <c r="H74" s="15">
        <v>71418.3</v>
      </c>
      <c r="I74" s="15">
        <v>500</v>
      </c>
      <c r="J74" s="15">
        <v>3070.9150000000004</v>
      </c>
      <c r="K74" s="16">
        <f t="shared" si="8"/>
        <v>10712.745000000001</v>
      </c>
      <c r="L74" s="15">
        <f t="shared" si="9"/>
        <v>446.36437500000005</v>
      </c>
      <c r="M74" s="43">
        <f t="shared" si="10"/>
        <v>57134.640000000007</v>
      </c>
      <c r="N74" s="55" t="s">
        <v>17</v>
      </c>
    </row>
    <row r="75" spans="1:14" ht="15" thickBot="1" x14ac:dyDescent="0.35">
      <c r="A75" s="73" t="s">
        <v>93</v>
      </c>
      <c r="B75" s="70">
        <f t="shared" si="11"/>
        <v>82.09</v>
      </c>
      <c r="C75" s="14"/>
      <c r="D75" s="14"/>
      <c r="E75" s="14" t="s">
        <v>12</v>
      </c>
      <c r="F75" s="14" t="s">
        <v>12</v>
      </c>
      <c r="G75" s="14">
        <f t="shared" si="12"/>
        <v>3</v>
      </c>
      <c r="H75" s="15">
        <v>71418.3</v>
      </c>
      <c r="I75" s="15">
        <v>500</v>
      </c>
      <c r="J75" s="15">
        <v>3070.9150000000004</v>
      </c>
      <c r="K75" s="16">
        <f t="shared" si="8"/>
        <v>10712.745000000001</v>
      </c>
      <c r="L75" s="15">
        <f t="shared" si="9"/>
        <v>446.36437500000005</v>
      </c>
      <c r="M75" s="43">
        <f t="shared" si="10"/>
        <v>57134.640000000007</v>
      </c>
      <c r="N75" s="55" t="s">
        <v>17</v>
      </c>
    </row>
    <row r="76" spans="1:14" ht="15" thickBot="1" x14ac:dyDescent="0.35">
      <c r="A76" s="73" t="s">
        <v>94</v>
      </c>
      <c r="B76" s="70">
        <f t="shared" si="11"/>
        <v>85.98</v>
      </c>
      <c r="C76" s="14"/>
      <c r="D76" s="14"/>
      <c r="E76" s="14" t="s">
        <v>12</v>
      </c>
      <c r="F76" s="14" t="s">
        <v>12</v>
      </c>
      <c r="G76" s="14">
        <f t="shared" si="12"/>
        <v>3</v>
      </c>
      <c r="H76" s="15">
        <v>74802.600000000006</v>
      </c>
      <c r="I76" s="15">
        <v>500</v>
      </c>
      <c r="J76" s="15">
        <v>3240.1300000000006</v>
      </c>
      <c r="K76" s="16">
        <f t="shared" si="8"/>
        <v>11220.390000000001</v>
      </c>
      <c r="L76" s="15">
        <f t="shared" si="9"/>
        <v>467.51625000000007</v>
      </c>
      <c r="M76" s="43">
        <f t="shared" si="10"/>
        <v>59842.080000000002</v>
      </c>
      <c r="N76" s="55" t="s">
        <v>17</v>
      </c>
    </row>
    <row r="77" spans="1:14" ht="15" thickBot="1" x14ac:dyDescent="0.35">
      <c r="A77" s="73" t="s">
        <v>95</v>
      </c>
      <c r="B77" s="70">
        <f t="shared" si="11"/>
        <v>85.98</v>
      </c>
      <c r="C77" s="14"/>
      <c r="D77" s="14"/>
      <c r="E77" s="14" t="s">
        <v>12</v>
      </c>
      <c r="F77" s="14" t="s">
        <v>12</v>
      </c>
      <c r="G77" s="14">
        <f t="shared" si="12"/>
        <v>3</v>
      </c>
      <c r="H77" s="15">
        <v>74802.600000000006</v>
      </c>
      <c r="I77" s="15">
        <v>500</v>
      </c>
      <c r="J77" s="15">
        <v>3240.1300000000006</v>
      </c>
      <c r="K77" s="16">
        <f t="shared" si="8"/>
        <v>11220.390000000001</v>
      </c>
      <c r="L77" s="15">
        <f t="shared" si="9"/>
        <v>467.51625000000007</v>
      </c>
      <c r="M77" s="43">
        <f t="shared" si="10"/>
        <v>59842.080000000002</v>
      </c>
      <c r="N77" s="55" t="s">
        <v>17</v>
      </c>
    </row>
    <row r="78" spans="1:14" ht="15" thickBot="1" x14ac:dyDescent="0.35">
      <c r="A78" s="73" t="s">
        <v>96</v>
      </c>
      <c r="B78" s="70">
        <f t="shared" si="11"/>
        <v>82.09</v>
      </c>
      <c r="C78" s="14">
        <v>46.1</v>
      </c>
      <c r="D78" s="14"/>
      <c r="E78" s="14" t="s">
        <v>12</v>
      </c>
      <c r="F78" s="14" t="s">
        <v>12</v>
      </c>
      <c r="G78" s="14">
        <f t="shared" si="12"/>
        <v>4</v>
      </c>
      <c r="H78" s="15">
        <v>81679.55</v>
      </c>
      <c r="I78" s="15">
        <v>500</v>
      </c>
      <c r="J78" s="15">
        <v>3583.9775000000004</v>
      </c>
      <c r="K78" s="16">
        <f t="shared" si="8"/>
        <v>12251.932500000001</v>
      </c>
      <c r="L78" s="15">
        <f t="shared" si="9"/>
        <v>510.49718750000005</v>
      </c>
      <c r="M78" s="43">
        <f t="shared" si="10"/>
        <v>65343.640000000007</v>
      </c>
      <c r="N78" s="55" t="s">
        <v>17</v>
      </c>
    </row>
    <row r="79" spans="1:14" ht="15" thickBot="1" x14ac:dyDescent="0.35">
      <c r="A79" s="73" t="s">
        <v>97</v>
      </c>
      <c r="B79" s="70">
        <f t="shared" si="11"/>
        <v>82.09</v>
      </c>
      <c r="C79" s="14">
        <v>46.1</v>
      </c>
      <c r="D79" s="14"/>
      <c r="E79" s="14" t="s">
        <v>12</v>
      </c>
      <c r="F79" s="14" t="s">
        <v>12</v>
      </c>
      <c r="G79" s="14">
        <f t="shared" si="12"/>
        <v>4</v>
      </c>
      <c r="H79" s="15">
        <v>81679.55</v>
      </c>
      <c r="I79" s="15">
        <v>500</v>
      </c>
      <c r="J79" s="15">
        <v>3583.9775000000004</v>
      </c>
      <c r="K79" s="16">
        <f t="shared" si="8"/>
        <v>12251.932500000001</v>
      </c>
      <c r="L79" s="15">
        <f t="shared" si="9"/>
        <v>510.49718750000005</v>
      </c>
      <c r="M79" s="43">
        <f t="shared" si="10"/>
        <v>65343.640000000007</v>
      </c>
      <c r="N79" s="55" t="s">
        <v>17</v>
      </c>
    </row>
    <row r="80" spans="1:14" ht="15" thickBot="1" x14ac:dyDescent="0.35">
      <c r="A80" s="73" t="s">
        <v>98</v>
      </c>
      <c r="B80" s="70">
        <f t="shared" si="11"/>
        <v>85.98</v>
      </c>
      <c r="C80" s="14">
        <v>48.6</v>
      </c>
      <c r="D80" s="14"/>
      <c r="E80" s="14" t="s">
        <v>12</v>
      </c>
      <c r="F80" s="14" t="s">
        <v>12</v>
      </c>
      <c r="G80" s="14">
        <f t="shared" si="12"/>
        <v>4</v>
      </c>
      <c r="H80" s="15">
        <v>85550.1</v>
      </c>
      <c r="I80" s="15">
        <v>500</v>
      </c>
      <c r="J80" s="15">
        <v>3777.5050000000001</v>
      </c>
      <c r="K80" s="16">
        <f t="shared" si="8"/>
        <v>12832.515000000001</v>
      </c>
      <c r="L80" s="15">
        <f t="shared" si="9"/>
        <v>534.68812500000001</v>
      </c>
      <c r="M80" s="43">
        <f t="shared" si="10"/>
        <v>68440.08</v>
      </c>
      <c r="N80" s="55" t="s">
        <v>17</v>
      </c>
    </row>
    <row r="81" spans="1:14" ht="15" thickBot="1" x14ac:dyDescent="0.35">
      <c r="A81" s="73" t="s">
        <v>99</v>
      </c>
      <c r="B81" s="71">
        <f t="shared" si="11"/>
        <v>85.98</v>
      </c>
      <c r="C81" s="36">
        <v>48.6</v>
      </c>
      <c r="D81" s="36"/>
      <c r="E81" s="36" t="s">
        <v>12</v>
      </c>
      <c r="F81" s="36" t="s">
        <v>12</v>
      </c>
      <c r="G81" s="36">
        <f t="shared" si="12"/>
        <v>4</v>
      </c>
      <c r="H81" s="37">
        <v>85550.1</v>
      </c>
      <c r="I81" s="37">
        <v>500</v>
      </c>
      <c r="J81" s="37">
        <v>3777.5050000000001</v>
      </c>
      <c r="K81" s="38">
        <f t="shared" si="8"/>
        <v>12832.515000000001</v>
      </c>
      <c r="L81" s="37">
        <f t="shared" si="9"/>
        <v>534.68812500000001</v>
      </c>
      <c r="M81" s="44">
        <f t="shared" si="10"/>
        <v>68440.08</v>
      </c>
      <c r="N81" s="55" t="s">
        <v>17</v>
      </c>
    </row>
    <row r="82" spans="1:14" ht="15" thickBot="1" x14ac:dyDescent="0.35">
      <c r="A82" s="73" t="s">
        <v>100</v>
      </c>
      <c r="B82" s="69">
        <v>82.09</v>
      </c>
      <c r="C82" s="30"/>
      <c r="D82" s="30"/>
      <c r="E82" s="30" t="s">
        <v>12</v>
      </c>
      <c r="F82" s="30" t="s">
        <v>12</v>
      </c>
      <c r="G82" s="30">
        <v>1</v>
      </c>
      <c r="H82" s="31">
        <v>75933.25</v>
      </c>
      <c r="I82" s="31">
        <v>500</v>
      </c>
      <c r="J82" s="31">
        <v>3296.6625000000004</v>
      </c>
      <c r="K82" s="32">
        <f t="shared" ref="K82:K129" si="13">+H82*15%</f>
        <v>11389.987499999999</v>
      </c>
      <c r="L82" s="31">
        <f t="shared" ref="L82:L129" si="14">+K82/24</f>
        <v>474.58281249999999</v>
      </c>
      <c r="M82" s="42">
        <f t="shared" ref="M82:M129" si="15">+H82-I82-J82-K82</f>
        <v>60746.599999999991</v>
      </c>
      <c r="N82" s="55" t="s">
        <v>17</v>
      </c>
    </row>
    <row r="83" spans="1:14" ht="15" thickBot="1" x14ac:dyDescent="0.35">
      <c r="A83" s="73" t="s">
        <v>101</v>
      </c>
      <c r="B83" s="70">
        <v>82.09</v>
      </c>
      <c r="C83" s="14"/>
      <c r="D83" s="14"/>
      <c r="E83" s="14" t="s">
        <v>12</v>
      </c>
      <c r="F83" s="14" t="s">
        <v>12</v>
      </c>
      <c r="G83" s="14">
        <v>1</v>
      </c>
      <c r="H83" s="15">
        <v>75933.25</v>
      </c>
      <c r="I83" s="15">
        <v>500</v>
      </c>
      <c r="J83" s="15">
        <v>3296.6625000000004</v>
      </c>
      <c r="K83" s="16">
        <f t="shared" si="13"/>
        <v>11389.987499999999</v>
      </c>
      <c r="L83" s="15">
        <f t="shared" si="14"/>
        <v>474.58281249999999</v>
      </c>
      <c r="M83" s="43">
        <f t="shared" si="15"/>
        <v>60746.599999999991</v>
      </c>
      <c r="N83" s="55" t="s">
        <v>17</v>
      </c>
    </row>
    <row r="84" spans="1:14" ht="15" thickBot="1" x14ac:dyDescent="0.35">
      <c r="A84" s="73" t="s">
        <v>102</v>
      </c>
      <c r="B84" s="70">
        <v>85.98</v>
      </c>
      <c r="C84" s="14"/>
      <c r="D84" s="14"/>
      <c r="E84" s="14" t="s">
        <v>12</v>
      </c>
      <c r="F84" s="14" t="s">
        <v>12</v>
      </c>
      <c r="G84" s="14">
        <v>1</v>
      </c>
      <c r="H84" s="15">
        <v>79531.5</v>
      </c>
      <c r="I84" s="15">
        <v>500</v>
      </c>
      <c r="J84" s="15">
        <v>3476.5750000000003</v>
      </c>
      <c r="K84" s="16">
        <f t="shared" si="13"/>
        <v>11929.725</v>
      </c>
      <c r="L84" s="15">
        <f t="shared" si="14"/>
        <v>497.07187500000003</v>
      </c>
      <c r="M84" s="43">
        <f t="shared" si="15"/>
        <v>63625.200000000004</v>
      </c>
      <c r="N84" s="55" t="s">
        <v>17</v>
      </c>
    </row>
    <row r="85" spans="1:14" ht="15" thickBot="1" x14ac:dyDescent="0.35">
      <c r="A85" s="73" t="s">
        <v>103</v>
      </c>
      <c r="B85" s="70">
        <v>85.98</v>
      </c>
      <c r="C85" s="14"/>
      <c r="D85" s="14"/>
      <c r="E85" s="14" t="s">
        <v>12</v>
      </c>
      <c r="F85" s="14" t="s">
        <v>12</v>
      </c>
      <c r="G85" s="14">
        <v>1</v>
      </c>
      <c r="H85" s="15">
        <v>79531.5</v>
      </c>
      <c r="I85" s="15">
        <v>500</v>
      </c>
      <c r="J85" s="15">
        <v>3476.5750000000003</v>
      </c>
      <c r="K85" s="16">
        <f t="shared" si="13"/>
        <v>11929.725</v>
      </c>
      <c r="L85" s="15">
        <f t="shared" si="14"/>
        <v>497.07187500000003</v>
      </c>
      <c r="M85" s="43">
        <f t="shared" si="15"/>
        <v>63625.200000000004</v>
      </c>
      <c r="N85" s="56" t="s">
        <v>18</v>
      </c>
    </row>
    <row r="86" spans="1:14" ht="15" thickBot="1" x14ac:dyDescent="0.35">
      <c r="A86" s="73" t="s">
        <v>104</v>
      </c>
      <c r="B86" s="70">
        <f>B82</f>
        <v>82.09</v>
      </c>
      <c r="C86" s="14"/>
      <c r="D86" s="14"/>
      <c r="E86" s="14" t="s">
        <v>12</v>
      </c>
      <c r="F86" s="14" t="s">
        <v>12</v>
      </c>
      <c r="G86" s="14">
        <f>G82+1</f>
        <v>2</v>
      </c>
      <c r="H86" s="15">
        <v>75522.8</v>
      </c>
      <c r="I86" s="15">
        <v>500</v>
      </c>
      <c r="J86" s="15">
        <v>3276.1400000000003</v>
      </c>
      <c r="K86" s="16">
        <f t="shared" si="13"/>
        <v>11328.42</v>
      </c>
      <c r="L86" s="15">
        <f t="shared" si="14"/>
        <v>472.01749999999998</v>
      </c>
      <c r="M86" s="43">
        <f t="shared" si="15"/>
        <v>60418.240000000005</v>
      </c>
      <c r="N86" s="55" t="s">
        <v>17</v>
      </c>
    </row>
    <row r="87" spans="1:14" ht="15" thickBot="1" x14ac:dyDescent="0.35">
      <c r="A87" s="73" t="s">
        <v>105</v>
      </c>
      <c r="B87" s="70">
        <f t="shared" ref="B87:B97" si="16">B83</f>
        <v>82.09</v>
      </c>
      <c r="C87" s="14"/>
      <c r="D87" s="14"/>
      <c r="E87" s="14" t="s">
        <v>12</v>
      </c>
      <c r="F87" s="14" t="s">
        <v>12</v>
      </c>
      <c r="G87" s="14">
        <f t="shared" ref="G87:G97" si="17">G83+1</f>
        <v>2</v>
      </c>
      <c r="H87" s="15">
        <v>75522.8</v>
      </c>
      <c r="I87" s="15">
        <v>500</v>
      </c>
      <c r="J87" s="15">
        <v>3276.1400000000003</v>
      </c>
      <c r="K87" s="16">
        <f t="shared" si="13"/>
        <v>11328.42</v>
      </c>
      <c r="L87" s="15">
        <f t="shared" si="14"/>
        <v>472.01749999999998</v>
      </c>
      <c r="M87" s="43">
        <f t="shared" si="15"/>
        <v>60418.240000000005</v>
      </c>
      <c r="N87" s="55" t="s">
        <v>17</v>
      </c>
    </row>
    <row r="88" spans="1:14" ht="15" thickBot="1" x14ac:dyDescent="0.35">
      <c r="A88" s="73" t="s">
        <v>106</v>
      </c>
      <c r="B88" s="70">
        <f t="shared" si="16"/>
        <v>85.98</v>
      </c>
      <c r="C88" s="14"/>
      <c r="D88" s="14"/>
      <c r="E88" s="14" t="s">
        <v>12</v>
      </c>
      <c r="F88" s="14" t="s">
        <v>12</v>
      </c>
      <c r="G88" s="14">
        <f t="shared" si="17"/>
        <v>2</v>
      </c>
      <c r="H88" s="15">
        <v>79101.600000000006</v>
      </c>
      <c r="I88" s="15">
        <v>500</v>
      </c>
      <c r="J88" s="15">
        <v>3455.0800000000004</v>
      </c>
      <c r="K88" s="16">
        <f t="shared" si="13"/>
        <v>11865.24</v>
      </c>
      <c r="L88" s="15">
        <f t="shared" si="14"/>
        <v>494.38499999999999</v>
      </c>
      <c r="M88" s="43">
        <f t="shared" si="15"/>
        <v>63281.280000000006</v>
      </c>
      <c r="N88" s="55" t="s">
        <v>17</v>
      </c>
    </row>
    <row r="89" spans="1:14" ht="15" thickBot="1" x14ac:dyDescent="0.35">
      <c r="A89" s="73" t="s">
        <v>107</v>
      </c>
      <c r="B89" s="70">
        <f t="shared" si="16"/>
        <v>85.98</v>
      </c>
      <c r="C89" s="14"/>
      <c r="D89" s="14"/>
      <c r="E89" s="14" t="s">
        <v>12</v>
      </c>
      <c r="F89" s="14" t="s">
        <v>12</v>
      </c>
      <c r="G89" s="14">
        <f t="shared" si="17"/>
        <v>2</v>
      </c>
      <c r="H89" s="15">
        <v>79101.600000000006</v>
      </c>
      <c r="I89" s="15">
        <v>500</v>
      </c>
      <c r="J89" s="15">
        <v>3455.0800000000004</v>
      </c>
      <c r="K89" s="16">
        <f t="shared" si="13"/>
        <v>11865.24</v>
      </c>
      <c r="L89" s="15">
        <f t="shared" si="14"/>
        <v>494.38499999999999</v>
      </c>
      <c r="M89" s="43">
        <f t="shared" si="15"/>
        <v>63281.280000000006</v>
      </c>
      <c r="N89" s="55" t="s">
        <v>17</v>
      </c>
    </row>
    <row r="90" spans="1:14" ht="15" thickBot="1" x14ac:dyDescent="0.35">
      <c r="A90" s="73" t="s">
        <v>108</v>
      </c>
      <c r="B90" s="70">
        <f t="shared" si="16"/>
        <v>82.09</v>
      </c>
      <c r="C90" s="14"/>
      <c r="D90" s="14"/>
      <c r="E90" s="14" t="s">
        <v>12</v>
      </c>
      <c r="F90" s="14" t="s">
        <v>12</v>
      </c>
      <c r="G90" s="14">
        <f t="shared" si="17"/>
        <v>3</v>
      </c>
      <c r="H90" s="15">
        <v>71418.3</v>
      </c>
      <c r="I90" s="15">
        <v>500</v>
      </c>
      <c r="J90" s="15">
        <v>3070.9150000000004</v>
      </c>
      <c r="K90" s="16">
        <f t="shared" si="13"/>
        <v>10712.745000000001</v>
      </c>
      <c r="L90" s="15">
        <f t="shared" si="14"/>
        <v>446.36437500000005</v>
      </c>
      <c r="M90" s="43">
        <f t="shared" si="15"/>
        <v>57134.640000000007</v>
      </c>
      <c r="N90" s="55" t="s">
        <v>17</v>
      </c>
    </row>
    <row r="91" spans="1:14" ht="15" thickBot="1" x14ac:dyDescent="0.35">
      <c r="A91" s="73" t="s">
        <v>109</v>
      </c>
      <c r="B91" s="70">
        <f>B87</f>
        <v>82.09</v>
      </c>
      <c r="C91" s="14"/>
      <c r="D91" s="14"/>
      <c r="E91" s="14" t="s">
        <v>12</v>
      </c>
      <c r="F91" s="14" t="s">
        <v>12</v>
      </c>
      <c r="G91" s="14">
        <f>G87+1</f>
        <v>3</v>
      </c>
      <c r="H91" s="15">
        <v>71418.3</v>
      </c>
      <c r="I91" s="15">
        <v>500</v>
      </c>
      <c r="J91" s="15">
        <v>3070.9150000000004</v>
      </c>
      <c r="K91" s="16">
        <f t="shared" si="13"/>
        <v>10712.745000000001</v>
      </c>
      <c r="L91" s="15">
        <f t="shared" si="14"/>
        <v>446.36437500000005</v>
      </c>
      <c r="M91" s="43">
        <f t="shared" si="15"/>
        <v>57134.640000000007</v>
      </c>
      <c r="N91" s="55" t="s">
        <v>17</v>
      </c>
    </row>
    <row r="92" spans="1:14" ht="15" thickBot="1" x14ac:dyDescent="0.35">
      <c r="A92" s="73" t="s">
        <v>110</v>
      </c>
      <c r="B92" s="70">
        <f>B88</f>
        <v>85.98</v>
      </c>
      <c r="C92" s="14"/>
      <c r="D92" s="14"/>
      <c r="E92" s="14" t="s">
        <v>12</v>
      </c>
      <c r="F92" s="14" t="s">
        <v>12</v>
      </c>
      <c r="G92" s="14">
        <f>G88+1</f>
        <v>3</v>
      </c>
      <c r="H92" s="15">
        <v>74802.600000000006</v>
      </c>
      <c r="I92" s="15">
        <v>500</v>
      </c>
      <c r="J92" s="15">
        <v>3240.1300000000006</v>
      </c>
      <c r="K92" s="16">
        <f t="shared" si="13"/>
        <v>11220.390000000001</v>
      </c>
      <c r="L92" s="15">
        <f t="shared" si="14"/>
        <v>467.51625000000007</v>
      </c>
      <c r="M92" s="43">
        <f t="shared" si="15"/>
        <v>59842.080000000002</v>
      </c>
      <c r="N92" s="55" t="s">
        <v>17</v>
      </c>
    </row>
    <row r="93" spans="1:14" ht="15" thickBot="1" x14ac:dyDescent="0.35">
      <c r="A93" s="73" t="s">
        <v>111</v>
      </c>
      <c r="B93" s="70">
        <f>B89</f>
        <v>85.98</v>
      </c>
      <c r="C93" s="14"/>
      <c r="D93" s="14"/>
      <c r="E93" s="14" t="s">
        <v>12</v>
      </c>
      <c r="F93" s="14" t="s">
        <v>12</v>
      </c>
      <c r="G93" s="14">
        <f>G89+1</f>
        <v>3</v>
      </c>
      <c r="H93" s="15">
        <v>74802.600000000006</v>
      </c>
      <c r="I93" s="15">
        <v>500</v>
      </c>
      <c r="J93" s="15">
        <v>3240.1300000000006</v>
      </c>
      <c r="K93" s="16">
        <f t="shared" si="13"/>
        <v>11220.390000000001</v>
      </c>
      <c r="L93" s="15">
        <f t="shared" si="14"/>
        <v>467.51625000000007</v>
      </c>
      <c r="M93" s="43">
        <f t="shared" si="15"/>
        <v>59842.080000000002</v>
      </c>
      <c r="N93" s="57" t="s">
        <v>19</v>
      </c>
    </row>
    <row r="94" spans="1:14" ht="15" thickBot="1" x14ac:dyDescent="0.35">
      <c r="A94" s="73" t="s">
        <v>112</v>
      </c>
      <c r="B94" s="70">
        <f>B90</f>
        <v>82.09</v>
      </c>
      <c r="C94" s="14">
        <v>46.1</v>
      </c>
      <c r="D94" s="14"/>
      <c r="E94" s="14" t="s">
        <v>12</v>
      </c>
      <c r="F94" s="14" t="s">
        <v>12</v>
      </c>
      <c r="G94" s="14">
        <f>G90+1</f>
        <v>4</v>
      </c>
      <c r="H94" s="15">
        <v>81679.55</v>
      </c>
      <c r="I94" s="15">
        <v>500</v>
      </c>
      <c r="J94" s="15">
        <v>3583.9775000000004</v>
      </c>
      <c r="K94" s="16">
        <f t="shared" si="13"/>
        <v>12251.932500000001</v>
      </c>
      <c r="L94" s="15">
        <f t="shared" si="14"/>
        <v>510.49718750000005</v>
      </c>
      <c r="M94" s="43">
        <f t="shared" si="15"/>
        <v>65343.640000000007</v>
      </c>
      <c r="N94" s="55" t="s">
        <v>17</v>
      </c>
    </row>
    <row r="95" spans="1:14" ht="15" thickBot="1" x14ac:dyDescent="0.35">
      <c r="A95" s="73" t="s">
        <v>113</v>
      </c>
      <c r="B95" s="70">
        <f t="shared" si="16"/>
        <v>82.09</v>
      </c>
      <c r="C95" s="14">
        <v>46.1</v>
      </c>
      <c r="D95" s="14"/>
      <c r="E95" s="14" t="s">
        <v>12</v>
      </c>
      <c r="F95" s="14" t="s">
        <v>12</v>
      </c>
      <c r="G95" s="14">
        <f t="shared" si="17"/>
        <v>4</v>
      </c>
      <c r="H95" s="15">
        <v>81679.55</v>
      </c>
      <c r="I95" s="15">
        <v>500</v>
      </c>
      <c r="J95" s="15">
        <v>3583.9775000000004</v>
      </c>
      <c r="K95" s="16">
        <f t="shared" si="13"/>
        <v>12251.932500000001</v>
      </c>
      <c r="L95" s="15">
        <f t="shared" si="14"/>
        <v>510.49718750000005</v>
      </c>
      <c r="M95" s="43">
        <f t="shared" si="15"/>
        <v>65343.640000000007</v>
      </c>
      <c r="N95" s="55" t="s">
        <v>17</v>
      </c>
    </row>
    <row r="96" spans="1:14" ht="15" thickBot="1" x14ac:dyDescent="0.35">
      <c r="A96" s="73" t="s">
        <v>114</v>
      </c>
      <c r="B96" s="70">
        <f t="shared" si="16"/>
        <v>85.98</v>
      </c>
      <c r="C96" s="14">
        <v>48.6</v>
      </c>
      <c r="D96" s="14"/>
      <c r="E96" s="14" t="s">
        <v>12</v>
      </c>
      <c r="F96" s="14" t="s">
        <v>12</v>
      </c>
      <c r="G96" s="14">
        <f t="shared" si="17"/>
        <v>4</v>
      </c>
      <c r="H96" s="15">
        <v>85550.1</v>
      </c>
      <c r="I96" s="15">
        <v>500</v>
      </c>
      <c r="J96" s="15">
        <v>3777.5050000000001</v>
      </c>
      <c r="K96" s="16">
        <f t="shared" si="13"/>
        <v>12832.515000000001</v>
      </c>
      <c r="L96" s="15">
        <f t="shared" si="14"/>
        <v>534.68812500000001</v>
      </c>
      <c r="M96" s="43">
        <f t="shared" si="15"/>
        <v>68440.08</v>
      </c>
      <c r="N96" s="55" t="s">
        <v>17</v>
      </c>
    </row>
    <row r="97" spans="1:14" ht="15" thickBot="1" x14ac:dyDescent="0.35">
      <c r="A97" s="73" t="s">
        <v>115</v>
      </c>
      <c r="B97" s="71">
        <f t="shared" si="16"/>
        <v>85.98</v>
      </c>
      <c r="C97" s="36">
        <v>48.6</v>
      </c>
      <c r="D97" s="36"/>
      <c r="E97" s="36" t="s">
        <v>12</v>
      </c>
      <c r="F97" s="36" t="s">
        <v>12</v>
      </c>
      <c r="G97" s="36">
        <f t="shared" si="17"/>
        <v>4</v>
      </c>
      <c r="H97" s="37">
        <v>85550.1</v>
      </c>
      <c r="I97" s="37">
        <v>500</v>
      </c>
      <c r="J97" s="37">
        <v>3777.5050000000001</v>
      </c>
      <c r="K97" s="38">
        <f t="shared" si="13"/>
        <v>12832.515000000001</v>
      </c>
      <c r="L97" s="37">
        <f t="shared" si="14"/>
        <v>534.68812500000001</v>
      </c>
      <c r="M97" s="44">
        <f t="shared" si="15"/>
        <v>68440.08</v>
      </c>
      <c r="N97" s="55" t="s">
        <v>17</v>
      </c>
    </row>
    <row r="98" spans="1:14" ht="15" thickBot="1" x14ac:dyDescent="0.35">
      <c r="A98" s="73" t="s">
        <v>116</v>
      </c>
      <c r="B98" s="69">
        <v>61.74</v>
      </c>
      <c r="C98" s="30"/>
      <c r="D98" s="30"/>
      <c r="E98" s="30" t="s">
        <v>14</v>
      </c>
      <c r="F98" s="30" t="s">
        <v>15</v>
      </c>
      <c r="G98" s="30">
        <v>1</v>
      </c>
      <c r="H98" s="31">
        <v>62109.5</v>
      </c>
      <c r="I98" s="31">
        <v>500</v>
      </c>
      <c r="J98" s="31">
        <v>2605.4750000000004</v>
      </c>
      <c r="K98" s="32">
        <f t="shared" si="13"/>
        <v>9316.4249999999993</v>
      </c>
      <c r="L98" s="31">
        <f t="shared" si="14"/>
        <v>388.18437499999999</v>
      </c>
      <c r="M98" s="42">
        <f t="shared" si="15"/>
        <v>49687.600000000006</v>
      </c>
      <c r="N98" s="55" t="s">
        <v>17</v>
      </c>
    </row>
    <row r="99" spans="1:14" ht="15" thickBot="1" x14ac:dyDescent="0.35">
      <c r="A99" s="73" t="s">
        <v>117</v>
      </c>
      <c r="B99" s="70">
        <v>61.74</v>
      </c>
      <c r="C99" s="14"/>
      <c r="D99" s="14"/>
      <c r="E99" s="14" t="s">
        <v>14</v>
      </c>
      <c r="F99" s="14" t="s">
        <v>15</v>
      </c>
      <c r="G99" s="14">
        <v>1</v>
      </c>
      <c r="H99" s="15">
        <v>62109.5</v>
      </c>
      <c r="I99" s="15">
        <v>500</v>
      </c>
      <c r="J99" s="15">
        <v>2605.4750000000004</v>
      </c>
      <c r="K99" s="16">
        <f t="shared" si="13"/>
        <v>9316.4249999999993</v>
      </c>
      <c r="L99" s="15">
        <f t="shared" si="14"/>
        <v>388.18437499999999</v>
      </c>
      <c r="M99" s="43">
        <f t="shared" si="15"/>
        <v>49687.600000000006</v>
      </c>
      <c r="N99" s="55" t="s">
        <v>17</v>
      </c>
    </row>
    <row r="100" spans="1:14" ht="15" thickBot="1" x14ac:dyDescent="0.35">
      <c r="A100" s="73" t="s">
        <v>118</v>
      </c>
      <c r="B100" s="70">
        <v>61.74</v>
      </c>
      <c r="C100" s="14"/>
      <c r="D100" s="14"/>
      <c r="E100" s="14" t="s">
        <v>14</v>
      </c>
      <c r="F100" s="14" t="s">
        <v>15</v>
      </c>
      <c r="G100" s="14">
        <v>1</v>
      </c>
      <c r="H100" s="15">
        <v>62109.5</v>
      </c>
      <c r="I100" s="15">
        <v>500</v>
      </c>
      <c r="J100" s="15">
        <v>2605.4750000000004</v>
      </c>
      <c r="K100" s="16">
        <f t="shared" si="13"/>
        <v>9316.4249999999993</v>
      </c>
      <c r="L100" s="15">
        <f t="shared" si="14"/>
        <v>388.18437499999999</v>
      </c>
      <c r="M100" s="43">
        <f t="shared" si="15"/>
        <v>49687.600000000006</v>
      </c>
      <c r="N100" s="55" t="s">
        <v>17</v>
      </c>
    </row>
    <row r="101" spans="1:14" ht="15" thickBot="1" x14ac:dyDescent="0.35">
      <c r="A101" s="73" t="s">
        <v>119</v>
      </c>
      <c r="B101" s="70">
        <v>61.74</v>
      </c>
      <c r="C101" s="14"/>
      <c r="D101" s="14"/>
      <c r="E101" s="14" t="s">
        <v>14</v>
      </c>
      <c r="F101" s="14" t="s">
        <v>15</v>
      </c>
      <c r="G101" s="14">
        <v>1</v>
      </c>
      <c r="H101" s="15">
        <v>62109.5</v>
      </c>
      <c r="I101" s="15">
        <v>500</v>
      </c>
      <c r="J101" s="15">
        <v>2605.4750000000004</v>
      </c>
      <c r="K101" s="16">
        <f t="shared" si="13"/>
        <v>9316.4249999999993</v>
      </c>
      <c r="L101" s="15">
        <f t="shared" si="14"/>
        <v>388.18437499999999</v>
      </c>
      <c r="M101" s="43">
        <f t="shared" si="15"/>
        <v>49687.600000000006</v>
      </c>
      <c r="N101" s="55" t="s">
        <v>17</v>
      </c>
    </row>
    <row r="102" spans="1:14" ht="15" thickBot="1" x14ac:dyDescent="0.35">
      <c r="A102" s="73" t="s">
        <v>120</v>
      </c>
      <c r="B102" s="70">
        <f>B98</f>
        <v>61.74</v>
      </c>
      <c r="C102" s="14"/>
      <c r="D102" s="14"/>
      <c r="E102" s="14" t="s">
        <v>14</v>
      </c>
      <c r="F102" s="14" t="s">
        <v>15</v>
      </c>
      <c r="G102" s="14">
        <f>G98+1</f>
        <v>2</v>
      </c>
      <c r="H102" s="15">
        <v>61800.800000000003</v>
      </c>
      <c r="I102" s="15">
        <v>500</v>
      </c>
      <c r="J102" s="15">
        <v>2590.0400000000004</v>
      </c>
      <c r="K102" s="16">
        <f t="shared" si="13"/>
        <v>9270.1200000000008</v>
      </c>
      <c r="L102" s="15">
        <f t="shared" si="14"/>
        <v>386.25500000000005</v>
      </c>
      <c r="M102" s="43">
        <f t="shared" si="15"/>
        <v>49440.639999999999</v>
      </c>
      <c r="N102" s="55" t="s">
        <v>17</v>
      </c>
    </row>
    <row r="103" spans="1:14" ht="15" thickBot="1" x14ac:dyDescent="0.35">
      <c r="A103" s="73" t="s">
        <v>121</v>
      </c>
      <c r="B103" s="70">
        <f t="shared" ref="B103:B113" si="18">B99</f>
        <v>61.74</v>
      </c>
      <c r="C103" s="14"/>
      <c r="D103" s="14"/>
      <c r="E103" s="14" t="s">
        <v>14</v>
      </c>
      <c r="F103" s="14" t="s">
        <v>15</v>
      </c>
      <c r="G103" s="14">
        <f t="shared" ref="G103:G113" si="19">G99+1</f>
        <v>2</v>
      </c>
      <c r="H103" s="15">
        <v>61800.800000000003</v>
      </c>
      <c r="I103" s="15">
        <v>500</v>
      </c>
      <c r="J103" s="15">
        <v>2590.0400000000004</v>
      </c>
      <c r="K103" s="16">
        <f t="shared" si="13"/>
        <v>9270.1200000000008</v>
      </c>
      <c r="L103" s="15">
        <f t="shared" si="14"/>
        <v>386.25500000000005</v>
      </c>
      <c r="M103" s="43">
        <f t="shared" si="15"/>
        <v>49440.639999999999</v>
      </c>
      <c r="N103" s="55" t="s">
        <v>17</v>
      </c>
    </row>
    <row r="104" spans="1:14" ht="15" thickBot="1" x14ac:dyDescent="0.35">
      <c r="A104" s="73" t="s">
        <v>122</v>
      </c>
      <c r="B104" s="70">
        <f t="shared" si="18"/>
        <v>61.74</v>
      </c>
      <c r="C104" s="14"/>
      <c r="D104" s="14"/>
      <c r="E104" s="14" t="s">
        <v>14</v>
      </c>
      <c r="F104" s="14" t="s">
        <v>15</v>
      </c>
      <c r="G104" s="14">
        <f t="shared" si="19"/>
        <v>2</v>
      </c>
      <c r="H104" s="15">
        <v>61800.800000000003</v>
      </c>
      <c r="I104" s="15">
        <v>500</v>
      </c>
      <c r="J104" s="15">
        <v>2590.0400000000004</v>
      </c>
      <c r="K104" s="16">
        <f t="shared" si="13"/>
        <v>9270.1200000000008</v>
      </c>
      <c r="L104" s="15">
        <f t="shared" si="14"/>
        <v>386.25500000000005</v>
      </c>
      <c r="M104" s="43">
        <f t="shared" si="15"/>
        <v>49440.639999999999</v>
      </c>
      <c r="N104" s="55" t="s">
        <v>17</v>
      </c>
    </row>
    <row r="105" spans="1:14" ht="15" thickBot="1" x14ac:dyDescent="0.35">
      <c r="A105" s="73" t="s">
        <v>123</v>
      </c>
      <c r="B105" s="70">
        <f t="shared" si="18"/>
        <v>61.74</v>
      </c>
      <c r="C105" s="14"/>
      <c r="D105" s="14"/>
      <c r="E105" s="14" t="s">
        <v>14</v>
      </c>
      <c r="F105" s="14" t="s">
        <v>15</v>
      </c>
      <c r="G105" s="14">
        <f t="shared" si="19"/>
        <v>2</v>
      </c>
      <c r="H105" s="15">
        <v>61800.800000000003</v>
      </c>
      <c r="I105" s="15">
        <v>500</v>
      </c>
      <c r="J105" s="15">
        <v>2590.0400000000004</v>
      </c>
      <c r="K105" s="16">
        <f t="shared" si="13"/>
        <v>9270.1200000000008</v>
      </c>
      <c r="L105" s="15">
        <f t="shared" si="14"/>
        <v>386.25500000000005</v>
      </c>
      <c r="M105" s="43">
        <f t="shared" si="15"/>
        <v>49440.639999999999</v>
      </c>
      <c r="N105" s="55" t="s">
        <v>17</v>
      </c>
    </row>
    <row r="106" spans="1:14" ht="15" thickBot="1" x14ac:dyDescent="0.35">
      <c r="A106" s="73" t="s">
        <v>124</v>
      </c>
      <c r="B106" s="70">
        <f t="shared" si="18"/>
        <v>61.74</v>
      </c>
      <c r="C106" s="14"/>
      <c r="D106" s="14"/>
      <c r="E106" s="14" t="s">
        <v>14</v>
      </c>
      <c r="F106" s="14" t="s">
        <v>15</v>
      </c>
      <c r="G106" s="14">
        <f t="shared" si="19"/>
        <v>3</v>
      </c>
      <c r="H106" s="15">
        <v>58713.8</v>
      </c>
      <c r="I106" s="15">
        <v>500</v>
      </c>
      <c r="J106" s="15">
        <v>2435.6900000000005</v>
      </c>
      <c r="K106" s="16">
        <f t="shared" si="13"/>
        <v>8807.07</v>
      </c>
      <c r="L106" s="15">
        <f t="shared" si="14"/>
        <v>366.96125000000001</v>
      </c>
      <c r="M106" s="43">
        <f t="shared" si="15"/>
        <v>46971.040000000001</v>
      </c>
      <c r="N106" s="55" t="s">
        <v>17</v>
      </c>
    </row>
    <row r="107" spans="1:14" ht="15" thickBot="1" x14ac:dyDescent="0.35">
      <c r="A107" s="73" t="s">
        <v>125</v>
      </c>
      <c r="B107" s="70">
        <f t="shared" si="18"/>
        <v>61.74</v>
      </c>
      <c r="C107" s="14"/>
      <c r="D107" s="14"/>
      <c r="E107" s="14" t="s">
        <v>14</v>
      </c>
      <c r="F107" s="14" t="s">
        <v>15</v>
      </c>
      <c r="G107" s="14">
        <f t="shared" si="19"/>
        <v>3</v>
      </c>
      <c r="H107" s="15">
        <v>58713.8</v>
      </c>
      <c r="I107" s="15">
        <v>500</v>
      </c>
      <c r="J107" s="15">
        <v>2435.6900000000005</v>
      </c>
      <c r="K107" s="16">
        <f t="shared" si="13"/>
        <v>8807.07</v>
      </c>
      <c r="L107" s="15">
        <f t="shared" si="14"/>
        <v>366.96125000000001</v>
      </c>
      <c r="M107" s="43">
        <f t="shared" si="15"/>
        <v>46971.040000000001</v>
      </c>
      <c r="N107" s="55" t="s">
        <v>17</v>
      </c>
    </row>
    <row r="108" spans="1:14" ht="15" thickBot="1" x14ac:dyDescent="0.35">
      <c r="A108" s="73" t="s">
        <v>126</v>
      </c>
      <c r="B108" s="70">
        <f t="shared" si="18"/>
        <v>61.74</v>
      </c>
      <c r="C108" s="14"/>
      <c r="D108" s="14"/>
      <c r="E108" s="14" t="s">
        <v>14</v>
      </c>
      <c r="F108" s="14" t="s">
        <v>15</v>
      </c>
      <c r="G108" s="14">
        <f t="shared" si="19"/>
        <v>3</v>
      </c>
      <c r="H108" s="15">
        <v>58713.8</v>
      </c>
      <c r="I108" s="15">
        <v>500</v>
      </c>
      <c r="J108" s="15">
        <v>2435.6900000000005</v>
      </c>
      <c r="K108" s="16">
        <f t="shared" si="13"/>
        <v>8807.07</v>
      </c>
      <c r="L108" s="15">
        <f t="shared" si="14"/>
        <v>366.96125000000001</v>
      </c>
      <c r="M108" s="43">
        <f t="shared" si="15"/>
        <v>46971.040000000001</v>
      </c>
      <c r="N108" s="55" t="s">
        <v>17</v>
      </c>
    </row>
    <row r="109" spans="1:14" ht="15" thickBot="1" x14ac:dyDescent="0.35">
      <c r="A109" s="73" t="s">
        <v>127</v>
      </c>
      <c r="B109" s="70">
        <f t="shared" si="18"/>
        <v>61.74</v>
      </c>
      <c r="C109" s="14"/>
      <c r="D109" s="14"/>
      <c r="E109" s="14" t="s">
        <v>14</v>
      </c>
      <c r="F109" s="14" t="s">
        <v>15</v>
      </c>
      <c r="G109" s="14">
        <f t="shared" si="19"/>
        <v>3</v>
      </c>
      <c r="H109" s="15">
        <v>58713.8</v>
      </c>
      <c r="I109" s="15">
        <v>500</v>
      </c>
      <c r="J109" s="15">
        <v>2435.6900000000005</v>
      </c>
      <c r="K109" s="16">
        <f t="shared" si="13"/>
        <v>8807.07</v>
      </c>
      <c r="L109" s="15">
        <f t="shared" si="14"/>
        <v>366.96125000000001</v>
      </c>
      <c r="M109" s="43">
        <f t="shared" si="15"/>
        <v>46971.040000000001</v>
      </c>
      <c r="N109" s="56" t="s">
        <v>18</v>
      </c>
    </row>
    <row r="110" spans="1:14" ht="15" thickBot="1" x14ac:dyDescent="0.35">
      <c r="A110" s="73" t="s">
        <v>128</v>
      </c>
      <c r="B110" s="70">
        <f t="shared" si="18"/>
        <v>61.74</v>
      </c>
      <c r="C110" s="14">
        <v>39.770000000000003</v>
      </c>
      <c r="D110" s="14"/>
      <c r="E110" s="14" t="s">
        <v>14</v>
      </c>
      <c r="F110" s="14" t="s">
        <v>15</v>
      </c>
      <c r="G110" s="14">
        <f t="shared" si="19"/>
        <v>4</v>
      </c>
      <c r="H110" s="15">
        <v>66431.3</v>
      </c>
      <c r="I110" s="15">
        <v>500</v>
      </c>
      <c r="J110" s="15">
        <v>2821.5650000000005</v>
      </c>
      <c r="K110" s="16">
        <f t="shared" si="13"/>
        <v>9964.6949999999997</v>
      </c>
      <c r="L110" s="15">
        <f t="shared" si="14"/>
        <v>415.19562500000001</v>
      </c>
      <c r="M110" s="43">
        <f t="shared" si="15"/>
        <v>53145.04</v>
      </c>
      <c r="N110" s="57" t="s">
        <v>19</v>
      </c>
    </row>
    <row r="111" spans="1:14" ht="15" thickBot="1" x14ac:dyDescent="0.35">
      <c r="A111" s="73" t="s">
        <v>129</v>
      </c>
      <c r="B111" s="70">
        <f t="shared" si="18"/>
        <v>61.74</v>
      </c>
      <c r="C111" s="14">
        <v>39.770000000000003</v>
      </c>
      <c r="D111" s="14"/>
      <c r="E111" s="14" t="s">
        <v>14</v>
      </c>
      <c r="F111" s="14" t="s">
        <v>15</v>
      </c>
      <c r="G111" s="14">
        <f t="shared" si="19"/>
        <v>4</v>
      </c>
      <c r="H111" s="15">
        <v>66431.3</v>
      </c>
      <c r="I111" s="15">
        <v>500</v>
      </c>
      <c r="J111" s="15">
        <v>2821.5650000000005</v>
      </c>
      <c r="K111" s="16">
        <f t="shared" si="13"/>
        <v>9964.6949999999997</v>
      </c>
      <c r="L111" s="15">
        <f t="shared" si="14"/>
        <v>415.19562500000001</v>
      </c>
      <c r="M111" s="43">
        <f t="shared" si="15"/>
        <v>53145.04</v>
      </c>
      <c r="N111" s="55" t="s">
        <v>17</v>
      </c>
    </row>
    <row r="112" spans="1:14" ht="15" thickBot="1" x14ac:dyDescent="0.35">
      <c r="A112" s="73" t="s">
        <v>130</v>
      </c>
      <c r="B112" s="70">
        <f t="shared" si="18"/>
        <v>61.74</v>
      </c>
      <c r="C112" s="14">
        <v>39.770000000000003</v>
      </c>
      <c r="D112" s="14"/>
      <c r="E112" s="14" t="s">
        <v>14</v>
      </c>
      <c r="F112" s="14" t="s">
        <v>15</v>
      </c>
      <c r="G112" s="14">
        <f t="shared" si="19"/>
        <v>4</v>
      </c>
      <c r="H112" s="15">
        <v>66431.3</v>
      </c>
      <c r="I112" s="15">
        <v>500</v>
      </c>
      <c r="J112" s="15">
        <v>2821.5650000000005</v>
      </c>
      <c r="K112" s="16">
        <f t="shared" si="13"/>
        <v>9964.6949999999997</v>
      </c>
      <c r="L112" s="15">
        <f t="shared" si="14"/>
        <v>415.19562500000001</v>
      </c>
      <c r="M112" s="43">
        <f t="shared" si="15"/>
        <v>53145.04</v>
      </c>
      <c r="N112" s="57" t="s">
        <v>19</v>
      </c>
    </row>
    <row r="113" spans="1:14" ht="15" thickBot="1" x14ac:dyDescent="0.35">
      <c r="A113" s="73" t="s">
        <v>131</v>
      </c>
      <c r="B113" s="71">
        <f t="shared" si="18"/>
        <v>61.74</v>
      </c>
      <c r="C113" s="36">
        <v>39.770000000000003</v>
      </c>
      <c r="D113" s="36"/>
      <c r="E113" s="36" t="s">
        <v>14</v>
      </c>
      <c r="F113" s="36" t="s">
        <v>15</v>
      </c>
      <c r="G113" s="36">
        <f t="shared" si="19"/>
        <v>4</v>
      </c>
      <c r="H113" s="37">
        <v>66431.3</v>
      </c>
      <c r="I113" s="37">
        <v>500</v>
      </c>
      <c r="J113" s="37">
        <v>2821.5650000000005</v>
      </c>
      <c r="K113" s="38">
        <f t="shared" si="13"/>
        <v>9964.6949999999997</v>
      </c>
      <c r="L113" s="37">
        <f t="shared" si="14"/>
        <v>415.19562500000001</v>
      </c>
      <c r="M113" s="44">
        <f t="shared" si="15"/>
        <v>53145.04</v>
      </c>
      <c r="N113" s="61" t="s">
        <v>18</v>
      </c>
    </row>
    <row r="114" spans="1:14" ht="15" thickBot="1" x14ac:dyDescent="0.35">
      <c r="A114" s="73" t="s">
        <v>132</v>
      </c>
      <c r="B114" s="69">
        <v>76.02</v>
      </c>
      <c r="C114" s="30"/>
      <c r="D114" s="30"/>
      <c r="E114" s="30" t="s">
        <v>14</v>
      </c>
      <c r="F114" s="30" t="s">
        <v>11</v>
      </c>
      <c r="G114" s="30">
        <v>1</v>
      </c>
      <c r="H114" s="31">
        <v>70318.5</v>
      </c>
      <c r="I114" s="31">
        <v>500</v>
      </c>
      <c r="J114" s="31">
        <v>3015.9250000000002</v>
      </c>
      <c r="K114" s="32">
        <f t="shared" si="13"/>
        <v>10547.775</v>
      </c>
      <c r="L114" s="31">
        <f t="shared" si="14"/>
        <v>439.49062499999997</v>
      </c>
      <c r="M114" s="42">
        <f t="shared" si="15"/>
        <v>56254.799999999996</v>
      </c>
      <c r="N114" s="62" t="s">
        <v>19</v>
      </c>
    </row>
    <row r="115" spans="1:14" x14ac:dyDescent="0.3">
      <c r="A115" s="73" t="s">
        <v>133</v>
      </c>
      <c r="B115" s="70">
        <v>76.02</v>
      </c>
      <c r="C115" s="14"/>
      <c r="D115" s="14"/>
      <c r="E115" s="14" t="s">
        <v>14</v>
      </c>
      <c r="F115" s="14" t="s">
        <v>11</v>
      </c>
      <c r="G115" s="14">
        <v>1</v>
      </c>
      <c r="H115" s="15">
        <v>70318.5</v>
      </c>
      <c r="I115" s="15">
        <v>500</v>
      </c>
      <c r="J115" s="15">
        <v>3015.9250000000002</v>
      </c>
      <c r="K115" s="16">
        <f t="shared" si="13"/>
        <v>10547.775</v>
      </c>
      <c r="L115" s="15">
        <f t="shared" si="14"/>
        <v>439.49062499999997</v>
      </c>
      <c r="M115" s="43">
        <f t="shared" si="15"/>
        <v>56254.799999999996</v>
      </c>
      <c r="N115" s="61" t="s">
        <v>18</v>
      </c>
    </row>
    <row r="116" spans="1:14" x14ac:dyDescent="0.3">
      <c r="A116" s="73" t="s">
        <v>134</v>
      </c>
      <c r="B116" s="70">
        <v>76.67</v>
      </c>
      <c r="C116" s="14"/>
      <c r="D116" s="14"/>
      <c r="E116" s="14" t="s">
        <v>14</v>
      </c>
      <c r="F116" s="14" t="s">
        <v>11</v>
      </c>
      <c r="G116" s="14">
        <v>1</v>
      </c>
      <c r="H116" s="15">
        <v>70919.75</v>
      </c>
      <c r="I116" s="15">
        <v>500</v>
      </c>
      <c r="J116" s="15">
        <v>3045.9875000000002</v>
      </c>
      <c r="K116" s="16">
        <f t="shared" si="13"/>
        <v>10637.9625</v>
      </c>
      <c r="L116" s="15">
        <f t="shared" si="14"/>
        <v>443.24843749999997</v>
      </c>
      <c r="M116" s="43">
        <f t="shared" si="15"/>
        <v>56735.799999999996</v>
      </c>
      <c r="N116" s="63" t="s">
        <v>18</v>
      </c>
    </row>
    <row r="117" spans="1:14" x14ac:dyDescent="0.3">
      <c r="A117" s="73" t="s">
        <v>135</v>
      </c>
      <c r="B117" s="70">
        <v>76.67</v>
      </c>
      <c r="C117" s="14"/>
      <c r="D117" s="14"/>
      <c r="E117" s="14" t="s">
        <v>14</v>
      </c>
      <c r="F117" s="14" t="s">
        <v>11</v>
      </c>
      <c r="G117" s="14">
        <v>1</v>
      </c>
      <c r="H117" s="15">
        <v>70919.75</v>
      </c>
      <c r="I117" s="15">
        <v>500</v>
      </c>
      <c r="J117" s="15">
        <v>3045.9875000000002</v>
      </c>
      <c r="K117" s="16">
        <f t="shared" si="13"/>
        <v>10637.9625</v>
      </c>
      <c r="L117" s="15">
        <f t="shared" si="14"/>
        <v>443.24843749999997</v>
      </c>
      <c r="M117" s="43">
        <f t="shared" si="15"/>
        <v>56735.799999999996</v>
      </c>
      <c r="N117" s="63" t="s">
        <v>18</v>
      </c>
    </row>
    <row r="118" spans="1:14" x14ac:dyDescent="0.3">
      <c r="A118" s="73" t="s">
        <v>136</v>
      </c>
      <c r="B118" s="70">
        <v>76.02</v>
      </c>
      <c r="C118" s="14"/>
      <c r="D118" s="14"/>
      <c r="E118" s="14" t="s">
        <v>14</v>
      </c>
      <c r="F118" s="14" t="s">
        <v>11</v>
      </c>
      <c r="G118" s="14">
        <f>G114+1</f>
        <v>2</v>
      </c>
      <c r="H118" s="15">
        <v>69938.399999999994</v>
      </c>
      <c r="I118" s="15">
        <v>500</v>
      </c>
      <c r="J118" s="15">
        <v>2996.92</v>
      </c>
      <c r="K118" s="16">
        <f t="shared" si="13"/>
        <v>10490.759999999998</v>
      </c>
      <c r="L118" s="15">
        <f t="shared" si="14"/>
        <v>437.11499999999995</v>
      </c>
      <c r="M118" s="43">
        <f t="shared" si="15"/>
        <v>55950.720000000001</v>
      </c>
      <c r="N118" s="64" t="s">
        <v>19</v>
      </c>
    </row>
    <row r="119" spans="1:14" x14ac:dyDescent="0.3">
      <c r="A119" s="73" t="s">
        <v>137</v>
      </c>
      <c r="B119" s="70">
        <v>76.02</v>
      </c>
      <c r="C119" s="14"/>
      <c r="D119" s="14"/>
      <c r="E119" s="14" t="s">
        <v>14</v>
      </c>
      <c r="F119" s="14" t="s">
        <v>11</v>
      </c>
      <c r="G119" s="14">
        <f t="shared" ref="G119:G129" si="20">G115+1</f>
        <v>2</v>
      </c>
      <c r="H119" s="15">
        <v>69938.399999999994</v>
      </c>
      <c r="I119" s="15">
        <v>500</v>
      </c>
      <c r="J119" s="15">
        <v>2996.92</v>
      </c>
      <c r="K119" s="16">
        <f t="shared" si="13"/>
        <v>10490.759999999998</v>
      </c>
      <c r="L119" s="15">
        <f t="shared" si="14"/>
        <v>437.11499999999995</v>
      </c>
      <c r="M119" s="43">
        <f t="shared" si="15"/>
        <v>55950.720000000001</v>
      </c>
      <c r="N119" s="63" t="s">
        <v>18</v>
      </c>
    </row>
    <row r="120" spans="1:14" x14ac:dyDescent="0.3">
      <c r="A120" s="73" t="s">
        <v>138</v>
      </c>
      <c r="B120" s="70">
        <v>76.67</v>
      </c>
      <c r="C120" s="14"/>
      <c r="D120" s="14"/>
      <c r="E120" s="14" t="s">
        <v>14</v>
      </c>
      <c r="F120" s="14" t="s">
        <v>11</v>
      </c>
      <c r="G120" s="14">
        <f t="shared" si="20"/>
        <v>2</v>
      </c>
      <c r="H120" s="15">
        <v>70536.400000000009</v>
      </c>
      <c r="I120" s="15">
        <v>500</v>
      </c>
      <c r="J120" s="15">
        <v>3026.8200000000006</v>
      </c>
      <c r="K120" s="16">
        <f t="shared" si="13"/>
        <v>10580.460000000001</v>
      </c>
      <c r="L120" s="15">
        <f t="shared" si="14"/>
        <v>440.85250000000002</v>
      </c>
      <c r="M120" s="43">
        <f t="shared" si="15"/>
        <v>56429.120000000003</v>
      </c>
      <c r="N120" s="63" t="s">
        <v>18</v>
      </c>
    </row>
    <row r="121" spans="1:14" x14ac:dyDescent="0.3">
      <c r="A121" s="73" t="s">
        <v>139</v>
      </c>
      <c r="B121" s="70">
        <v>76.67</v>
      </c>
      <c r="C121" s="14"/>
      <c r="D121" s="14"/>
      <c r="E121" s="14" t="s">
        <v>14</v>
      </c>
      <c r="F121" s="14" t="s">
        <v>11</v>
      </c>
      <c r="G121" s="14">
        <f t="shared" si="20"/>
        <v>2</v>
      </c>
      <c r="H121" s="15">
        <v>70536.400000000009</v>
      </c>
      <c r="I121" s="15">
        <v>500</v>
      </c>
      <c r="J121" s="15">
        <v>3026.8200000000006</v>
      </c>
      <c r="K121" s="16">
        <f t="shared" si="13"/>
        <v>10580.460000000001</v>
      </c>
      <c r="L121" s="15">
        <f t="shared" si="14"/>
        <v>440.85250000000002</v>
      </c>
      <c r="M121" s="43">
        <f t="shared" si="15"/>
        <v>56429.120000000003</v>
      </c>
      <c r="N121" s="63" t="s">
        <v>18</v>
      </c>
    </row>
    <row r="122" spans="1:14" x14ac:dyDescent="0.3">
      <c r="A122" s="73" t="s">
        <v>140</v>
      </c>
      <c r="B122" s="70">
        <v>76.02</v>
      </c>
      <c r="C122" s="14"/>
      <c r="D122" s="14"/>
      <c r="E122" s="14" t="s">
        <v>14</v>
      </c>
      <c r="F122" s="14" t="s">
        <v>11</v>
      </c>
      <c r="G122" s="14">
        <f t="shared" si="20"/>
        <v>3</v>
      </c>
      <c r="H122" s="15">
        <v>66137.399999999994</v>
      </c>
      <c r="I122" s="15">
        <v>500</v>
      </c>
      <c r="J122" s="15">
        <v>2806.87</v>
      </c>
      <c r="K122" s="16">
        <f t="shared" si="13"/>
        <v>9920.6099999999988</v>
      </c>
      <c r="L122" s="15">
        <f t="shared" si="14"/>
        <v>413.35874999999993</v>
      </c>
      <c r="M122" s="43">
        <f t="shared" si="15"/>
        <v>52909.919999999991</v>
      </c>
      <c r="N122" s="65" t="s">
        <v>17</v>
      </c>
    </row>
    <row r="123" spans="1:14" x14ac:dyDescent="0.3">
      <c r="A123" s="73" t="s">
        <v>141</v>
      </c>
      <c r="B123" s="70">
        <v>76.02</v>
      </c>
      <c r="C123" s="14"/>
      <c r="D123" s="14"/>
      <c r="E123" s="14" t="s">
        <v>14</v>
      </c>
      <c r="F123" s="14" t="s">
        <v>11</v>
      </c>
      <c r="G123" s="14">
        <f t="shared" si="20"/>
        <v>3</v>
      </c>
      <c r="H123" s="15">
        <v>66137.399999999994</v>
      </c>
      <c r="I123" s="15">
        <v>500</v>
      </c>
      <c r="J123" s="15">
        <v>2806.87</v>
      </c>
      <c r="K123" s="16">
        <f t="shared" si="13"/>
        <v>9920.6099999999988</v>
      </c>
      <c r="L123" s="15">
        <f t="shared" si="14"/>
        <v>413.35874999999993</v>
      </c>
      <c r="M123" s="43">
        <f t="shared" si="15"/>
        <v>52909.919999999991</v>
      </c>
      <c r="N123" s="65" t="s">
        <v>17</v>
      </c>
    </row>
    <row r="124" spans="1:14" x14ac:dyDescent="0.3">
      <c r="A124" s="73" t="s">
        <v>142</v>
      </c>
      <c r="B124" s="70">
        <v>76.67</v>
      </c>
      <c r="C124" s="14"/>
      <c r="D124" s="14"/>
      <c r="E124" s="14" t="s">
        <v>14</v>
      </c>
      <c r="F124" s="14" t="s">
        <v>11</v>
      </c>
      <c r="G124" s="14">
        <f t="shared" si="20"/>
        <v>3</v>
      </c>
      <c r="H124" s="15">
        <v>66702.900000000009</v>
      </c>
      <c r="I124" s="15">
        <v>500</v>
      </c>
      <c r="J124" s="15">
        <v>2835.1450000000004</v>
      </c>
      <c r="K124" s="16">
        <f t="shared" si="13"/>
        <v>10005.435000000001</v>
      </c>
      <c r="L124" s="15">
        <f t="shared" si="14"/>
        <v>416.89312500000005</v>
      </c>
      <c r="M124" s="43">
        <f t="shared" si="15"/>
        <v>53362.320000000007</v>
      </c>
      <c r="N124" s="65" t="s">
        <v>17</v>
      </c>
    </row>
    <row r="125" spans="1:14" ht="15" thickBot="1" x14ac:dyDescent="0.35">
      <c r="A125" s="73" t="s">
        <v>143</v>
      </c>
      <c r="B125" s="70">
        <v>76.67</v>
      </c>
      <c r="C125" s="14"/>
      <c r="D125" s="14"/>
      <c r="E125" s="14" t="s">
        <v>14</v>
      </c>
      <c r="F125" s="14" t="s">
        <v>11</v>
      </c>
      <c r="G125" s="14">
        <f t="shared" si="20"/>
        <v>3</v>
      </c>
      <c r="H125" s="15">
        <v>66702.900000000009</v>
      </c>
      <c r="I125" s="15">
        <v>500</v>
      </c>
      <c r="J125" s="15">
        <v>2835.1450000000004</v>
      </c>
      <c r="K125" s="16">
        <f t="shared" si="13"/>
        <v>10005.435000000001</v>
      </c>
      <c r="L125" s="15">
        <f t="shared" si="14"/>
        <v>416.89312500000005</v>
      </c>
      <c r="M125" s="43">
        <f t="shared" si="15"/>
        <v>53362.320000000007</v>
      </c>
      <c r="N125" s="63" t="s">
        <v>18</v>
      </c>
    </row>
    <row r="126" spans="1:14" x14ac:dyDescent="0.3">
      <c r="A126" s="73" t="s">
        <v>144</v>
      </c>
      <c r="B126" s="70">
        <v>76.02</v>
      </c>
      <c r="C126" s="14">
        <v>47.2</v>
      </c>
      <c r="D126" s="14"/>
      <c r="E126" s="14" t="s">
        <v>14</v>
      </c>
      <c r="F126" s="14" t="s">
        <v>11</v>
      </c>
      <c r="G126" s="14">
        <f t="shared" si="20"/>
        <v>4</v>
      </c>
      <c r="H126" s="15">
        <v>75639.899999999994</v>
      </c>
      <c r="I126" s="15">
        <v>500</v>
      </c>
      <c r="J126" s="15">
        <v>3281.9949999999999</v>
      </c>
      <c r="K126" s="16">
        <f t="shared" si="13"/>
        <v>11345.984999999999</v>
      </c>
      <c r="L126" s="15">
        <f t="shared" si="14"/>
        <v>472.74937499999993</v>
      </c>
      <c r="M126" s="43">
        <f t="shared" si="15"/>
        <v>60511.92</v>
      </c>
      <c r="N126" s="61" t="s">
        <v>18</v>
      </c>
    </row>
    <row r="127" spans="1:14" x14ac:dyDescent="0.3">
      <c r="A127" s="73" t="s">
        <v>145</v>
      </c>
      <c r="B127" s="70">
        <v>76.02</v>
      </c>
      <c r="C127" s="14">
        <v>47.2</v>
      </c>
      <c r="D127" s="14"/>
      <c r="E127" s="14" t="s">
        <v>14</v>
      </c>
      <c r="F127" s="14" t="s">
        <v>11</v>
      </c>
      <c r="G127" s="14">
        <f t="shared" si="20"/>
        <v>4</v>
      </c>
      <c r="H127" s="15">
        <v>75639.899999999994</v>
      </c>
      <c r="I127" s="15">
        <v>500</v>
      </c>
      <c r="J127" s="15">
        <v>3281.9949999999999</v>
      </c>
      <c r="K127" s="16">
        <f t="shared" si="13"/>
        <v>11345.984999999999</v>
      </c>
      <c r="L127" s="15">
        <f t="shared" si="14"/>
        <v>472.74937499999993</v>
      </c>
      <c r="M127" s="43">
        <f t="shared" si="15"/>
        <v>60511.92</v>
      </c>
      <c r="N127" s="63" t="s">
        <v>18</v>
      </c>
    </row>
    <row r="128" spans="1:14" x14ac:dyDescent="0.3">
      <c r="A128" s="73" t="s">
        <v>146</v>
      </c>
      <c r="B128" s="70">
        <v>76.67</v>
      </c>
      <c r="C128" s="14">
        <v>44.48</v>
      </c>
      <c r="D128" s="14"/>
      <c r="E128" s="14" t="s">
        <v>14</v>
      </c>
      <c r="F128" s="14" t="s">
        <v>11</v>
      </c>
      <c r="G128" s="14">
        <f t="shared" si="20"/>
        <v>4</v>
      </c>
      <c r="H128" s="15">
        <v>76286.650000000009</v>
      </c>
      <c r="I128" s="15">
        <v>500</v>
      </c>
      <c r="J128" s="15">
        <v>3314.3325000000004</v>
      </c>
      <c r="K128" s="16">
        <f t="shared" si="13"/>
        <v>11442.997500000001</v>
      </c>
      <c r="L128" s="15">
        <f t="shared" si="14"/>
        <v>476.79156250000005</v>
      </c>
      <c r="M128" s="43">
        <f t="shared" si="15"/>
        <v>61029.320000000007</v>
      </c>
      <c r="N128" s="64" t="s">
        <v>19</v>
      </c>
    </row>
    <row r="129" spans="1:14" ht="15" thickBot="1" x14ac:dyDescent="0.35">
      <c r="A129" s="73" t="s">
        <v>147</v>
      </c>
      <c r="B129" s="72">
        <v>76.67</v>
      </c>
      <c r="C129" s="33">
        <v>44.48</v>
      </c>
      <c r="D129" s="33"/>
      <c r="E129" s="33" t="s">
        <v>14</v>
      </c>
      <c r="F129" s="33" t="s">
        <v>11</v>
      </c>
      <c r="G129" s="33">
        <f t="shared" si="20"/>
        <v>4</v>
      </c>
      <c r="H129" s="34">
        <v>76286.650000000009</v>
      </c>
      <c r="I129" s="34">
        <v>500</v>
      </c>
      <c r="J129" s="34">
        <v>3314.3325000000004</v>
      </c>
      <c r="K129" s="35">
        <f t="shared" si="13"/>
        <v>11442.997500000001</v>
      </c>
      <c r="L129" s="34">
        <f t="shared" si="14"/>
        <v>476.79156250000005</v>
      </c>
      <c r="M129" s="45">
        <f t="shared" si="15"/>
        <v>61029.320000000007</v>
      </c>
      <c r="N129" s="63" t="s">
        <v>18</v>
      </c>
    </row>
    <row r="130" spans="1:14" ht="15" thickBot="1" x14ac:dyDescent="0.35">
      <c r="B130" s="48" t="s">
        <v>16</v>
      </c>
      <c r="C130" s="49"/>
      <c r="D130" s="49"/>
      <c r="E130" s="49"/>
      <c r="F130" s="40">
        <v>128</v>
      </c>
      <c r="G130" s="47"/>
      <c r="H130" s="17"/>
      <c r="I130" s="17"/>
      <c r="J130" s="17"/>
      <c r="K130" s="17"/>
      <c r="L130" s="17"/>
      <c r="M130" s="41">
        <f>SUM(M2:M129)</f>
        <v>7466561.5999999987</v>
      </c>
      <c r="N130" s="27">
        <f>+'[1]LISTA DE PRECIOS ETAPA 1'!Q138</f>
        <v>0</v>
      </c>
    </row>
  </sheetData>
  <sheetProtection selectLockedCells="1" selectUnlockedCells="1"/>
  <mergeCells count="1">
    <mergeCell ref="B130:E130"/>
  </mergeCells>
  <conditionalFormatting sqref="N130">
    <cfRule type="containsText" dxfId="2" priority="7" operator="containsText" text="NO DISPONIBLE">
      <formula>NOT(ISERROR(SEARCH("NO DISPONIBLE",N130)))</formula>
    </cfRule>
    <cfRule type="containsText" dxfId="1" priority="8" operator="containsText" text="BLOQUEADO">
      <formula>NOT(ISERROR(SEARCH("BLOQUEADO",N130)))</formula>
    </cfRule>
    <cfRule type="containsText" dxfId="0" priority="9" operator="containsText" text="DISPONIBLE">
      <formula>NOT(ISERROR(SEARCH("DISPONIBLE",N130)))</formula>
    </cfRule>
  </conditionalFormatting>
  <pageMargins left="0.7" right="0.7" top="0.75" bottom="0.75" header="0.3" footer="0.3"/>
  <pageSetup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PRECIOS ETAPA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 Lopez</dc:creator>
  <cp:keywords/>
  <dc:description/>
  <cp:lastModifiedBy>Diana Reyes</cp:lastModifiedBy>
  <cp:revision/>
  <dcterms:created xsi:type="dcterms:W3CDTF">2026-02-11T20:43:50Z</dcterms:created>
  <dcterms:modified xsi:type="dcterms:W3CDTF">2026-04-23T14:47:28Z</dcterms:modified>
  <cp:category/>
  <cp:contentStatus/>
</cp:coreProperties>
</file>