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VENTAS-02\Downloads\"/>
    </mc:Choice>
  </mc:AlternateContent>
  <xr:revisionPtr revIDLastSave="186" documentId="13_ncr:1_{96400108-F293-4404-BEA5-4BEC1E51A280}" xr6:coauthVersionLast="47" xr6:coauthVersionMax="47" xr10:uidLastSave="{5DA31FE0-32A1-4DC1-BEFD-46874F1B9830}"/>
  <bookViews>
    <workbookView xWindow="28680" yWindow="-120" windowWidth="29040" windowHeight="15840" xr2:uid="{54E3828D-035F-40CD-B6FC-BEDE3347E96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H6" i="1"/>
  <c r="I11" i="1"/>
  <c r="I8" i="1"/>
  <c r="J14" i="1"/>
  <c r="J13" i="1"/>
  <c r="J12" i="1"/>
  <c r="J5" i="1"/>
  <c r="J4" i="1"/>
  <c r="J3" i="1"/>
  <c r="I14" i="1"/>
  <c r="M14" i="1" s="1"/>
  <c r="I13" i="1"/>
  <c r="M13" i="1" s="1"/>
  <c r="I12" i="1"/>
  <c r="I5" i="1"/>
  <c r="M5" i="1" s="1"/>
  <c r="I4" i="1"/>
  <c r="M4" i="1" s="1"/>
  <c r="I3" i="1"/>
  <c r="M3" i="1" s="1"/>
  <c r="H7" i="1"/>
  <c r="I10" i="1" s="1"/>
  <c r="H9" i="1"/>
  <c r="I9" i="1" s="1"/>
  <c r="F14" i="1"/>
  <c r="F13" i="1"/>
  <c r="F12" i="1"/>
  <c r="I6" i="1" l="1"/>
  <c r="K4" i="1"/>
  <c r="L4" i="1" s="1"/>
  <c r="K12" i="1"/>
  <c r="L12" i="1" s="1"/>
  <c r="J7" i="1"/>
  <c r="K3" i="1"/>
  <c r="L3" i="1" s="1"/>
  <c r="J11" i="1"/>
  <c r="K11" i="1" s="1"/>
  <c r="L11" i="1" s="1"/>
  <c r="M12" i="1"/>
  <c r="J9" i="1"/>
  <c r="K9" i="1" s="1"/>
  <c r="L9" i="1" s="1"/>
  <c r="K5" i="1"/>
  <c r="L5" i="1" s="1"/>
  <c r="K13" i="1"/>
  <c r="L13" i="1" s="1"/>
  <c r="M9" i="1"/>
  <c r="M11" i="1"/>
  <c r="J8" i="1"/>
  <c r="J6" i="1"/>
  <c r="K6" i="1" s="1"/>
  <c r="L6" i="1" s="1"/>
  <c r="J10" i="1"/>
  <c r="K10" i="1" s="1"/>
  <c r="L10" i="1" s="1"/>
  <c r="K14" i="1"/>
  <c r="L14" i="1" s="1"/>
  <c r="M6" i="1"/>
  <c r="M10" i="1"/>
  <c r="I7" i="1"/>
  <c r="K8" i="1" l="1"/>
  <c r="L8" i="1" s="1"/>
  <c r="M7" i="1"/>
  <c r="K7" i="1"/>
  <c r="L7" i="1" s="1"/>
  <c r="M8" i="1"/>
</calcChain>
</file>

<file path=xl/sharedStrings.xml><?xml version="1.0" encoding="utf-8"?>
<sst xmlns="http://schemas.openxmlformats.org/spreadsheetml/2006/main" count="55" uniqueCount="33">
  <si>
    <t>EDIFICIO RUTH ESTHER</t>
  </si>
  <si>
    <t>ESTATUS</t>
  </si>
  <si>
    <t>NIVEL</t>
  </si>
  <si>
    <t>NÚMERO</t>
  </si>
  <si>
    <t>ADQUIRIENTE (S)</t>
  </si>
  <si>
    <t>CARACTERISTICAS</t>
  </si>
  <si>
    <t>METRAJE</t>
  </si>
  <si>
    <t>INMOBILIARIA</t>
  </si>
  <si>
    <t>PRECIOS EN RD</t>
  </si>
  <si>
    <t>INICIAL 20%</t>
  </si>
  <si>
    <t>SEPARACIÓN</t>
  </si>
  <si>
    <t>COMPLETIVO INICIAL</t>
  </si>
  <si>
    <t>CUOTAS A 12 MESES</t>
  </si>
  <si>
    <t>CONTRA ENTREGA</t>
  </si>
  <si>
    <t>NO DISPONIBLE</t>
  </si>
  <si>
    <t>OBISPO REYES</t>
  </si>
  <si>
    <t>3 HABITACIONES, SALA, COMEDOR, COCINA, 2 BAÑOS, CLOSET,WALKING CLOSET, AREA DE LAVADO, 90 METROS DE TERRAZA DESTECHADA Y  2 PARQUEOS</t>
  </si>
  <si>
    <t>DOES</t>
  </si>
  <si>
    <t>HAMILTON</t>
  </si>
  <si>
    <t>3 HABITACIONES, SALA, COMEDOR, COCINA, 2 BAÑOS, CLOSET,WALKING CLOSET, AREA DE LAVADO Y 1 PARQUEO</t>
  </si>
  <si>
    <t>ANEUDY BIENNEIR CANELA MARTINEZ Y JOCELYN ECHAVARRIA DE CANELA</t>
  </si>
  <si>
    <t>3 HABITACIONES, SALA, COMEDOR, COCINA, 2 BAÑOS, CLOSET,WALKING CLOSET, AREA DE LAVADO Y 2 PARQUEOS</t>
  </si>
  <si>
    <t>JOSE MIGUEL ZABALA BURGOS</t>
  </si>
  <si>
    <t>ING.JONATHAN</t>
  </si>
  <si>
    <t>WANDA VANESSA PEÑA MENDEZ</t>
  </si>
  <si>
    <t xml:space="preserve">First Home </t>
  </si>
  <si>
    <t>WILKIN ALFRESO DE JESUS PEREZ</t>
  </si>
  <si>
    <t>MARSELL DE LEON ESPINAL</t>
  </si>
  <si>
    <t>YASSELY CAROLINA DILONE SANTOS</t>
  </si>
  <si>
    <t>DISPONIBLE</t>
  </si>
  <si>
    <t>3 HABITACIONES, SALA, COMEDOR, COCINA, 2 BAÑOS, CLOSET,WALKING CLOSET, AREA DE LAVADO, MAS 130.3 M DE TERRAZA DESTECHADA Y 2 PARQUEOS</t>
  </si>
  <si>
    <t>3 HABITACIONES, SALA, COMEDOR, COCINA, 2 BAÑOS, CLOSET,WALKING CLOSET, AREA DE LAVADO,MAS 123.44 M DE TERRAZA DESTECHADA Y 2 PARQUEOS</t>
  </si>
  <si>
    <t>3 HABITACIONES, SALA, COMEDOR, COCINA, 2 BAÑOS, CLOSET,WALKING CLOSET, AREA DE LAVADO, MAS 142.9 M DE TERRAZA DESTECHADA Y 2 PARQUEOS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</si>
</sst>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1C0A]#,##0.00_);\([$$-1C0A]#,##0.00\)"/>
    <numFmt numFmtId="165" formatCode="&quot;$&quot;#,##0.00"/>
  </numFmts>
  <fonts count="6"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/>
    </xf>
    <xf numFmtId="16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8" fontId="5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EFE6-E5F0-4598-81B9-788E22217635}">
  <sheetPr>
    <pageSetUpPr fitToPage="1"/>
  </sheetPr>
  <dimension ref="A1:M16"/>
  <sheetViews>
    <sheetView tabSelected="1" zoomScaleNormal="100" workbookViewId="0">
      <selection activeCell="B12" sqref="B12"/>
    </sheetView>
  </sheetViews>
  <sheetFormatPr defaultColWidth="11.42578125" defaultRowHeight="15"/>
  <cols>
    <col min="1" max="1" width="20.140625" customWidth="1"/>
    <col min="4" max="4" width="27.28515625" customWidth="1"/>
    <col min="5" max="5" width="64.7109375" customWidth="1"/>
    <col min="6" max="6" width="13.42578125" customWidth="1"/>
    <col min="7" max="7" width="18" customWidth="1"/>
    <col min="8" max="8" width="24" customWidth="1"/>
    <col min="9" max="9" width="18.85546875" customWidth="1"/>
    <col min="10" max="10" width="17" customWidth="1"/>
    <col min="11" max="11" width="24.28515625" customWidth="1"/>
    <col min="12" max="12" width="24.85546875" customWidth="1"/>
    <col min="13" max="13" width="26.28515625" customWidth="1"/>
  </cols>
  <sheetData>
    <row r="1" spans="1:13" ht="27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40.5" customHeight="1">
      <c r="A2" s="14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47.25" customHeight="1">
      <c r="A3" s="12" t="s">
        <v>14</v>
      </c>
      <c r="B3" s="13">
        <v>2</v>
      </c>
      <c r="C3" s="3">
        <v>201</v>
      </c>
      <c r="D3" s="7" t="s">
        <v>15</v>
      </c>
      <c r="E3" s="4" t="s">
        <v>16</v>
      </c>
      <c r="F3" s="3">
        <v>119</v>
      </c>
      <c r="G3" s="3" t="s">
        <v>17</v>
      </c>
      <c r="H3" s="8">
        <f>9600000-480000</f>
        <v>9120000</v>
      </c>
      <c r="I3" s="9">
        <f t="shared" ref="I3:I14" si="0">+H3*0.2</f>
        <v>1824000</v>
      </c>
      <c r="J3" s="5">
        <f t="shared" ref="J3:J14" si="1">+H3*0.05</f>
        <v>456000</v>
      </c>
      <c r="K3" s="6">
        <f>+I3-J3</f>
        <v>1368000</v>
      </c>
      <c r="L3" s="6">
        <f>+K3/13</f>
        <v>105230.76923076923</v>
      </c>
      <c r="M3" s="9">
        <f t="shared" ref="M3:M14" si="2">+H3-I3</f>
        <v>7296000</v>
      </c>
    </row>
    <row r="4" spans="1:13" ht="50.25" customHeight="1">
      <c r="A4" s="12" t="s">
        <v>14</v>
      </c>
      <c r="B4" s="13">
        <v>2</v>
      </c>
      <c r="C4" s="3">
        <v>202</v>
      </c>
      <c r="D4" s="7" t="s">
        <v>18</v>
      </c>
      <c r="E4" s="7" t="s">
        <v>19</v>
      </c>
      <c r="F4" s="3">
        <v>110.5</v>
      </c>
      <c r="G4" s="3" t="s">
        <v>17</v>
      </c>
      <c r="H4" s="8">
        <v>7950000</v>
      </c>
      <c r="I4" s="9">
        <f t="shared" si="0"/>
        <v>1590000</v>
      </c>
      <c r="J4" s="5">
        <f t="shared" si="1"/>
        <v>397500</v>
      </c>
      <c r="K4" s="6">
        <f t="shared" ref="K4:K14" si="3">+I4-J4</f>
        <v>1192500</v>
      </c>
      <c r="L4" s="6">
        <f>+K4/12</f>
        <v>99375</v>
      </c>
      <c r="M4" s="9">
        <f t="shared" si="2"/>
        <v>6360000</v>
      </c>
    </row>
    <row r="5" spans="1:13" ht="61.5" customHeight="1">
      <c r="A5" s="12" t="s">
        <v>14</v>
      </c>
      <c r="B5" s="13">
        <v>2</v>
      </c>
      <c r="C5" s="3">
        <v>203</v>
      </c>
      <c r="D5" s="7" t="s">
        <v>20</v>
      </c>
      <c r="E5" s="7" t="s">
        <v>21</v>
      </c>
      <c r="F5" s="3">
        <v>138</v>
      </c>
      <c r="G5" s="3" t="s">
        <v>17</v>
      </c>
      <c r="H5" s="8">
        <f>8950000-447500</f>
        <v>8502500</v>
      </c>
      <c r="I5" s="9">
        <f t="shared" si="0"/>
        <v>1700500</v>
      </c>
      <c r="J5" s="5">
        <f t="shared" si="1"/>
        <v>425125</v>
      </c>
      <c r="K5" s="6">
        <f t="shared" si="3"/>
        <v>1275375</v>
      </c>
      <c r="L5" s="6">
        <f t="shared" ref="L4:L14" si="4">+K5/13</f>
        <v>98105.769230769234</v>
      </c>
      <c r="M5" s="9">
        <f t="shared" si="2"/>
        <v>6802000</v>
      </c>
    </row>
    <row r="6" spans="1:13" ht="37.5" customHeight="1">
      <c r="A6" s="12" t="s">
        <v>14</v>
      </c>
      <c r="B6" s="13">
        <v>3</v>
      </c>
      <c r="C6" s="3">
        <v>301</v>
      </c>
      <c r="D6" s="7" t="s">
        <v>22</v>
      </c>
      <c r="E6" s="7" t="s">
        <v>21</v>
      </c>
      <c r="F6" s="3">
        <v>119</v>
      </c>
      <c r="G6" s="3" t="s">
        <v>17</v>
      </c>
      <c r="H6" s="10">
        <f>8600000-430000</f>
        <v>8170000</v>
      </c>
      <c r="I6" s="9">
        <f t="shared" si="0"/>
        <v>1634000</v>
      </c>
      <c r="J6" s="5">
        <f t="shared" si="1"/>
        <v>408500</v>
      </c>
      <c r="K6" s="6">
        <f t="shared" si="3"/>
        <v>1225500</v>
      </c>
      <c r="L6" s="6">
        <f>+K6/12</f>
        <v>102125</v>
      </c>
      <c r="M6" s="9">
        <f t="shared" si="2"/>
        <v>6536000</v>
      </c>
    </row>
    <row r="7" spans="1:13" ht="37.5" customHeight="1">
      <c r="A7" s="12" t="s">
        <v>14</v>
      </c>
      <c r="B7" s="13">
        <v>3</v>
      </c>
      <c r="C7" s="3">
        <v>302</v>
      </c>
      <c r="D7" s="3" t="s">
        <v>23</v>
      </c>
      <c r="E7" s="7" t="s">
        <v>19</v>
      </c>
      <c r="F7" s="3">
        <v>110.5</v>
      </c>
      <c r="G7" s="3"/>
      <c r="H7" s="8">
        <f>H4</f>
        <v>7950000</v>
      </c>
      <c r="I7" s="9">
        <f t="shared" si="0"/>
        <v>1590000</v>
      </c>
      <c r="J7" s="5">
        <f t="shared" si="1"/>
        <v>397500</v>
      </c>
      <c r="K7" s="6">
        <f t="shared" si="3"/>
        <v>1192500</v>
      </c>
      <c r="L7" s="6">
        <f>+K7/12</f>
        <v>99375</v>
      </c>
      <c r="M7" s="9">
        <f t="shared" si="2"/>
        <v>6360000</v>
      </c>
    </row>
    <row r="8" spans="1:13" ht="36" customHeight="1">
      <c r="A8" s="12" t="s">
        <v>14</v>
      </c>
      <c r="B8" s="13">
        <v>3</v>
      </c>
      <c r="C8" s="3">
        <v>303</v>
      </c>
      <c r="D8" s="7" t="s">
        <v>24</v>
      </c>
      <c r="E8" s="7" t="s">
        <v>21</v>
      </c>
      <c r="F8" s="3">
        <v>138</v>
      </c>
      <c r="G8" s="3" t="s">
        <v>25</v>
      </c>
      <c r="H8" s="10">
        <v>9050000</v>
      </c>
      <c r="I8" s="9">
        <f t="shared" si="0"/>
        <v>1810000</v>
      </c>
      <c r="J8" s="5">
        <f t="shared" si="1"/>
        <v>452500</v>
      </c>
      <c r="K8" s="6">
        <f t="shared" si="3"/>
        <v>1357500</v>
      </c>
      <c r="L8" s="6">
        <f>+K8/12</f>
        <v>113125</v>
      </c>
      <c r="M8" s="9">
        <f t="shared" si="2"/>
        <v>7240000</v>
      </c>
    </row>
    <row r="9" spans="1:13" ht="30">
      <c r="A9" s="12" t="s">
        <v>14</v>
      </c>
      <c r="B9" s="13">
        <v>4</v>
      </c>
      <c r="C9" s="3">
        <v>401</v>
      </c>
      <c r="D9" s="7" t="s">
        <v>26</v>
      </c>
      <c r="E9" s="7" t="s">
        <v>21</v>
      </c>
      <c r="F9" s="3">
        <v>119</v>
      </c>
      <c r="G9" s="3" t="s">
        <v>25</v>
      </c>
      <c r="H9" s="8">
        <f>H6+200000</f>
        <v>8370000</v>
      </c>
      <c r="I9" s="9">
        <f t="shared" si="0"/>
        <v>1674000</v>
      </c>
      <c r="J9" s="5">
        <f t="shared" si="1"/>
        <v>418500</v>
      </c>
      <c r="K9" s="6">
        <f t="shared" si="3"/>
        <v>1255500</v>
      </c>
      <c r="L9" s="6">
        <f>+K9/12</f>
        <v>104625</v>
      </c>
      <c r="M9" s="9">
        <f t="shared" si="2"/>
        <v>6696000</v>
      </c>
    </row>
    <row r="10" spans="1:13" ht="30">
      <c r="A10" s="12" t="s">
        <v>14</v>
      </c>
      <c r="B10" s="13">
        <v>4</v>
      </c>
      <c r="C10" s="3">
        <v>402</v>
      </c>
      <c r="D10" s="7" t="s">
        <v>27</v>
      </c>
      <c r="E10" s="7" t="s">
        <v>19</v>
      </c>
      <c r="F10" s="3">
        <v>110.5</v>
      </c>
      <c r="G10" s="3" t="s">
        <v>17</v>
      </c>
      <c r="H10" s="8">
        <v>7500000</v>
      </c>
      <c r="I10" s="9">
        <f t="shared" si="0"/>
        <v>1500000</v>
      </c>
      <c r="J10" s="5">
        <f t="shared" si="1"/>
        <v>375000</v>
      </c>
      <c r="K10" s="6">
        <f t="shared" si="3"/>
        <v>1125000</v>
      </c>
      <c r="L10" s="6">
        <f>+K10/12</f>
        <v>93750</v>
      </c>
      <c r="M10" s="9">
        <f t="shared" si="2"/>
        <v>6000000</v>
      </c>
    </row>
    <row r="11" spans="1:13" ht="34.5" customHeight="1">
      <c r="A11" s="12" t="s">
        <v>14</v>
      </c>
      <c r="B11" s="13">
        <v>4</v>
      </c>
      <c r="C11" s="3">
        <v>403</v>
      </c>
      <c r="D11" s="11" t="s">
        <v>28</v>
      </c>
      <c r="E11" s="7" t="s">
        <v>21</v>
      </c>
      <c r="F11" s="3">
        <v>138</v>
      </c>
      <c r="G11" s="3" t="s">
        <v>25</v>
      </c>
      <c r="H11" s="10">
        <v>9150000</v>
      </c>
      <c r="I11" s="9">
        <f>+H11*0.17</f>
        <v>1555500</v>
      </c>
      <c r="J11" s="5">
        <f t="shared" si="1"/>
        <v>457500</v>
      </c>
      <c r="K11" s="6">
        <f t="shared" si="3"/>
        <v>1098000</v>
      </c>
      <c r="L11" s="6">
        <f>+K11/12</f>
        <v>91500</v>
      </c>
      <c r="M11" s="9">
        <f t="shared" si="2"/>
        <v>7594500</v>
      </c>
    </row>
    <row r="12" spans="1:13" ht="45.75">
      <c r="A12" s="12" t="s">
        <v>29</v>
      </c>
      <c r="B12" s="13">
        <v>5</v>
      </c>
      <c r="C12" s="3">
        <v>501</v>
      </c>
      <c r="D12" s="3"/>
      <c r="E12" s="4" t="s">
        <v>30</v>
      </c>
      <c r="F12" s="3">
        <f>110.5+102.5</f>
        <v>213</v>
      </c>
      <c r="G12" s="3"/>
      <c r="H12" s="8">
        <v>12000000</v>
      </c>
      <c r="I12" s="9">
        <f t="shared" si="0"/>
        <v>2400000</v>
      </c>
      <c r="J12" s="5">
        <f t="shared" si="1"/>
        <v>600000</v>
      </c>
      <c r="K12" s="6">
        <f t="shared" si="3"/>
        <v>1800000</v>
      </c>
      <c r="L12" s="6">
        <f>+K12/12</f>
        <v>150000</v>
      </c>
      <c r="M12" s="9">
        <f t="shared" si="2"/>
        <v>9600000</v>
      </c>
    </row>
    <row r="13" spans="1:13" ht="45.75">
      <c r="A13" s="12" t="s">
        <v>29</v>
      </c>
      <c r="B13" s="13">
        <v>5</v>
      </c>
      <c r="C13" s="3">
        <v>502</v>
      </c>
      <c r="D13" s="3"/>
      <c r="E13" s="4" t="s">
        <v>31</v>
      </c>
      <c r="F13" s="3">
        <f>110.5+102.5</f>
        <v>213</v>
      </c>
      <c r="G13" s="3"/>
      <c r="H13" s="8">
        <v>11500000</v>
      </c>
      <c r="I13" s="9">
        <f t="shared" si="0"/>
        <v>2300000</v>
      </c>
      <c r="J13" s="5">
        <f t="shared" si="1"/>
        <v>575000</v>
      </c>
      <c r="K13" s="6">
        <f t="shared" si="3"/>
        <v>1725000</v>
      </c>
      <c r="L13" s="6">
        <f>+K13/12</f>
        <v>143750</v>
      </c>
      <c r="M13" s="9">
        <f t="shared" si="2"/>
        <v>9200000</v>
      </c>
    </row>
    <row r="14" spans="1:13" ht="49.5" customHeight="1">
      <c r="A14" s="12" t="s">
        <v>29</v>
      </c>
      <c r="B14" s="13">
        <v>5</v>
      </c>
      <c r="C14" s="3">
        <v>503</v>
      </c>
      <c r="D14" s="3"/>
      <c r="E14" s="4" t="s">
        <v>32</v>
      </c>
      <c r="F14" s="3">
        <f>138+121.5</f>
        <v>259.5</v>
      </c>
      <c r="G14" s="3"/>
      <c r="H14" s="8">
        <v>12500000</v>
      </c>
      <c r="I14" s="9">
        <f t="shared" si="0"/>
        <v>2500000</v>
      </c>
      <c r="J14" s="5">
        <f t="shared" si="1"/>
        <v>625000</v>
      </c>
      <c r="K14" s="6">
        <f t="shared" si="3"/>
        <v>1875000</v>
      </c>
      <c r="L14" s="6">
        <f>+K14/12</f>
        <v>156250</v>
      </c>
      <c r="M14" s="9">
        <f t="shared" si="2"/>
        <v>10000000</v>
      </c>
    </row>
    <row r="16" spans="1:13">
      <c r="I16" s="2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">
    <mergeCell ref="B1:M1"/>
  </mergeCells>
  <conditionalFormatting sqref="A3:A14">
    <cfRule type="containsText" dxfId="2" priority="3" operator="containsText" text="BLOQUEADO">
      <formula>NOT(ISERROR(SEARCH("BLOQUEADO",A3)))</formula>
    </cfRule>
  </conditionalFormatting>
  <conditionalFormatting sqref="A3:A14">
    <cfRule type="beginsWith" dxfId="1" priority="2" operator="beginsWith" text="DISPONIBLE">
      <formula>LEFT(A3,LEN("DISPONIBLE"))="DISPONIBLE"</formula>
    </cfRule>
  </conditionalFormatting>
  <conditionalFormatting sqref="A3:A14">
    <cfRule type="beginsWith" dxfId="0" priority="1" operator="beginsWith" text="NO DISPONIBLE">
      <formula>LEFT(A3,LEN("NO DISPONIBLE"))="NO DISPONIBLE"</formula>
    </cfRule>
  </conditionalFormatting>
  <pageMargins left="0.7" right="0.7" top="0.75" bottom="0.75" header="0.3" footer="0.3"/>
  <pageSetup paperSize="7" scale="2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Echavarria</dc:creator>
  <cp:keywords/>
  <dc:description/>
  <cp:lastModifiedBy>Jocelyn Echavarria</cp:lastModifiedBy>
  <cp:revision/>
  <dcterms:created xsi:type="dcterms:W3CDTF">2025-06-24T20:45:05Z</dcterms:created>
  <dcterms:modified xsi:type="dcterms:W3CDTF">2026-04-13T17:59:29Z</dcterms:modified>
  <cp:category/>
  <cp:contentStatus/>
</cp:coreProperties>
</file>